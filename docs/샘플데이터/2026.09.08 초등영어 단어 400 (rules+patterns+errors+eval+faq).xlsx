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lab\"/>
    </mc:Choice>
  </mc:AlternateContent>
  <xr:revisionPtr revIDLastSave="0" documentId="13_ncr:1_{FFD4E38C-860E-48C3-B046-0D6D17C866CB}" xr6:coauthVersionLast="47" xr6:coauthVersionMax="47" xr10:uidLastSave="{00000000-0000-0000-0000-000000000000}"/>
  <bookViews>
    <workbookView xWindow="-108" yWindow="-108" windowWidth="23256" windowHeight="12456" tabRatio="500" firstSheet="1" activeTab="7" xr2:uid="{00000000-000D-0000-FFFF-FFFF00000000}"/>
  </bookViews>
  <sheets>
    <sheet name="00_README" sheetId="1" r:id="rId1"/>
    <sheet name="01_rules" sheetId="2" r:id="rId2"/>
    <sheet name="02_eval" sheetId="3" r:id="rId3"/>
    <sheet name="03_units" sheetId="4" r:id="rId4"/>
    <sheet name="04_patterns" sheetId="5" r:id="rId5"/>
    <sheet name="05_words" sheetId="6" r:id="rId6"/>
    <sheet name="06_errors" sheetId="7" r:id="rId7"/>
    <sheet name="07_faq" sheetId="8" r:id="rId8"/>
    <sheet name="08_검수로그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75" i="8" l="1"/>
  <c r="L75" i="8"/>
  <c r="K75" i="8"/>
  <c r="M74" i="8"/>
  <c r="L74" i="8"/>
  <c r="K74" i="8"/>
  <c r="M73" i="8"/>
  <c r="L73" i="8"/>
  <c r="K73" i="8"/>
  <c r="M72" i="8"/>
  <c r="L72" i="8"/>
  <c r="K72" i="8"/>
  <c r="M71" i="8"/>
  <c r="L71" i="8"/>
  <c r="K71" i="8"/>
  <c r="M70" i="8"/>
  <c r="L70" i="8"/>
  <c r="K70" i="8"/>
  <c r="M69" i="8"/>
  <c r="L69" i="8"/>
  <c r="K69" i="8"/>
  <c r="M68" i="8"/>
  <c r="L68" i="8"/>
  <c r="K68" i="8"/>
  <c r="M67" i="8"/>
  <c r="L67" i="8"/>
  <c r="K67" i="8"/>
  <c r="M66" i="8"/>
  <c r="L66" i="8"/>
  <c r="K66" i="8"/>
  <c r="M65" i="8"/>
  <c r="L65" i="8"/>
  <c r="K65" i="8"/>
  <c r="M64" i="8"/>
  <c r="L64" i="8"/>
  <c r="K64" i="8"/>
  <c r="M63" i="8"/>
  <c r="L63" i="8"/>
  <c r="K63" i="8"/>
  <c r="M62" i="8"/>
  <c r="L62" i="8"/>
  <c r="K62" i="8"/>
  <c r="M61" i="8"/>
  <c r="L61" i="8"/>
  <c r="K61" i="8"/>
  <c r="M60" i="8"/>
  <c r="L60" i="8"/>
  <c r="K60" i="8"/>
  <c r="M59" i="8"/>
  <c r="L59" i="8"/>
  <c r="K59" i="8"/>
  <c r="M58" i="8"/>
  <c r="L58" i="8"/>
  <c r="K58" i="8"/>
  <c r="M57" i="8"/>
  <c r="L57" i="8"/>
  <c r="K57" i="8"/>
  <c r="M56" i="8"/>
  <c r="L56" i="8"/>
  <c r="K56" i="8"/>
  <c r="M55" i="8"/>
  <c r="L55" i="8"/>
  <c r="K55" i="8"/>
  <c r="M54" i="8"/>
  <c r="L54" i="8"/>
  <c r="K54" i="8"/>
  <c r="M53" i="8"/>
  <c r="L53" i="8"/>
  <c r="K53" i="8"/>
  <c r="M52" i="8"/>
  <c r="L52" i="8"/>
  <c r="K52" i="8"/>
  <c r="M51" i="8"/>
  <c r="L51" i="8"/>
  <c r="K51" i="8"/>
  <c r="M50" i="8"/>
  <c r="L50" i="8"/>
  <c r="K50" i="8"/>
  <c r="M49" i="8"/>
  <c r="L49" i="8"/>
  <c r="K49" i="8"/>
  <c r="M48" i="8"/>
  <c r="L48" i="8"/>
  <c r="K48" i="8"/>
  <c r="M47" i="8"/>
  <c r="L47" i="8"/>
  <c r="K47" i="8"/>
  <c r="M46" i="8"/>
  <c r="L46" i="8"/>
  <c r="K46" i="8"/>
  <c r="M45" i="8"/>
  <c r="L45" i="8"/>
  <c r="K45" i="8"/>
  <c r="M44" i="8"/>
  <c r="L44" i="8"/>
  <c r="K44" i="8"/>
  <c r="M43" i="8"/>
  <c r="L43" i="8"/>
  <c r="K43" i="8"/>
  <c r="M42" i="8"/>
  <c r="L42" i="8"/>
  <c r="K42" i="8"/>
  <c r="M41" i="8"/>
  <c r="L41" i="8"/>
  <c r="K41" i="8"/>
  <c r="M40" i="8"/>
  <c r="L40" i="8"/>
  <c r="K40" i="8"/>
  <c r="M39" i="8"/>
  <c r="L39" i="8"/>
  <c r="K39" i="8"/>
  <c r="M38" i="8"/>
  <c r="L38" i="8"/>
  <c r="K38" i="8"/>
  <c r="M37" i="8"/>
  <c r="L37" i="8"/>
  <c r="K37" i="8"/>
  <c r="M36" i="8"/>
  <c r="L36" i="8"/>
  <c r="K36" i="8"/>
  <c r="M35" i="8"/>
  <c r="L35" i="8"/>
  <c r="K35" i="8"/>
  <c r="M34" i="8"/>
  <c r="L34" i="8"/>
  <c r="K34" i="8"/>
  <c r="M33" i="8"/>
  <c r="L33" i="8"/>
  <c r="K33" i="8"/>
  <c r="M32" i="8"/>
  <c r="L32" i="8"/>
  <c r="K32" i="8"/>
  <c r="M31" i="8"/>
  <c r="L31" i="8"/>
  <c r="K31" i="8"/>
  <c r="M30" i="8"/>
  <c r="L30" i="8"/>
  <c r="K30" i="8"/>
  <c r="M29" i="8"/>
  <c r="L29" i="8"/>
  <c r="K29" i="8"/>
  <c r="M28" i="8"/>
  <c r="L28" i="8"/>
  <c r="K28" i="8"/>
  <c r="M27" i="8"/>
  <c r="L27" i="8"/>
  <c r="K27" i="8"/>
  <c r="M26" i="8"/>
  <c r="L26" i="8"/>
  <c r="K26" i="8"/>
  <c r="M25" i="8"/>
  <c r="L25" i="8"/>
  <c r="K25" i="8"/>
  <c r="M24" i="8"/>
  <c r="L24" i="8"/>
  <c r="K24" i="8"/>
  <c r="M23" i="8"/>
  <c r="L23" i="8"/>
  <c r="K23" i="8"/>
  <c r="M22" i="8"/>
  <c r="L22" i="8"/>
  <c r="K22" i="8"/>
  <c r="M21" i="8"/>
  <c r="L21" i="8"/>
  <c r="K21" i="8"/>
  <c r="M20" i="8"/>
  <c r="L20" i="8"/>
  <c r="K20" i="8"/>
  <c r="M19" i="8"/>
  <c r="L19" i="8"/>
  <c r="K19" i="8"/>
  <c r="M18" i="8"/>
  <c r="L18" i="8"/>
  <c r="K18" i="8"/>
  <c r="M17" i="8"/>
  <c r="L17" i="8"/>
  <c r="K17" i="8"/>
  <c r="M16" i="8"/>
  <c r="L16" i="8"/>
  <c r="K16" i="8"/>
  <c r="M15" i="8"/>
  <c r="L15" i="8"/>
  <c r="K15" i="8"/>
  <c r="M14" i="8"/>
  <c r="L14" i="8"/>
  <c r="K14" i="8"/>
  <c r="M13" i="8"/>
  <c r="L13" i="8"/>
  <c r="K13" i="8"/>
  <c r="M12" i="8"/>
  <c r="L12" i="8"/>
  <c r="K12" i="8"/>
  <c r="M11" i="8"/>
  <c r="L11" i="8"/>
  <c r="K11" i="8"/>
  <c r="M10" i="8"/>
  <c r="L10" i="8"/>
  <c r="K10" i="8"/>
  <c r="M9" i="8"/>
  <c r="L9" i="8"/>
  <c r="K9" i="8"/>
  <c r="M8" i="8"/>
  <c r="L8" i="8"/>
  <c r="K8" i="8"/>
  <c r="M7" i="8"/>
  <c r="L7" i="8"/>
  <c r="K7" i="8"/>
  <c r="M6" i="8"/>
  <c r="L6" i="8"/>
  <c r="K6" i="8"/>
  <c r="M5" i="8"/>
  <c r="L5" i="8"/>
  <c r="K5" i="8"/>
  <c r="M4" i="8"/>
  <c r="L4" i="8"/>
  <c r="K4" i="8"/>
  <c r="M3" i="8"/>
  <c r="L3" i="8"/>
  <c r="K3" i="8"/>
  <c r="M2" i="8"/>
  <c r="L2" i="8"/>
  <c r="K2" i="8"/>
  <c r="N401" i="7"/>
  <c r="M401" i="7"/>
  <c r="L401" i="7"/>
  <c r="K401" i="7"/>
  <c r="N400" i="7"/>
  <c r="M400" i="7"/>
  <c r="L400" i="7"/>
  <c r="K400" i="7"/>
  <c r="N399" i="7"/>
  <c r="M399" i="7"/>
  <c r="L399" i="7"/>
  <c r="K399" i="7"/>
  <c r="N398" i="7"/>
  <c r="M398" i="7"/>
  <c r="L398" i="7"/>
  <c r="K398" i="7"/>
  <c r="N397" i="7"/>
  <c r="M397" i="7"/>
  <c r="L397" i="7"/>
  <c r="K397" i="7"/>
  <c r="N396" i="7"/>
  <c r="M396" i="7"/>
  <c r="L396" i="7"/>
  <c r="K396" i="7"/>
  <c r="N395" i="7"/>
  <c r="M395" i="7"/>
  <c r="L395" i="7"/>
  <c r="K395" i="7"/>
  <c r="N394" i="7"/>
  <c r="M394" i="7"/>
  <c r="L394" i="7"/>
  <c r="K394" i="7"/>
  <c r="N393" i="7"/>
  <c r="M393" i="7"/>
  <c r="L393" i="7"/>
  <c r="K393" i="7"/>
  <c r="N392" i="7"/>
  <c r="M392" i="7"/>
  <c r="L392" i="7"/>
  <c r="K392" i="7"/>
  <c r="N391" i="7"/>
  <c r="M391" i="7"/>
  <c r="L391" i="7"/>
  <c r="K391" i="7"/>
  <c r="N390" i="7"/>
  <c r="M390" i="7"/>
  <c r="L390" i="7"/>
  <c r="K390" i="7"/>
  <c r="N389" i="7"/>
  <c r="M389" i="7"/>
  <c r="L389" i="7"/>
  <c r="K389" i="7"/>
  <c r="N388" i="7"/>
  <c r="M388" i="7"/>
  <c r="L388" i="7"/>
  <c r="K388" i="7"/>
  <c r="N387" i="7"/>
  <c r="M387" i="7"/>
  <c r="L387" i="7"/>
  <c r="K387" i="7"/>
  <c r="N386" i="7"/>
  <c r="M386" i="7"/>
  <c r="L386" i="7"/>
  <c r="K386" i="7"/>
  <c r="N385" i="7"/>
  <c r="M385" i="7"/>
  <c r="L385" i="7"/>
  <c r="K385" i="7"/>
  <c r="N384" i="7"/>
  <c r="M384" i="7"/>
  <c r="L384" i="7"/>
  <c r="K384" i="7"/>
  <c r="N383" i="7"/>
  <c r="M383" i="7"/>
  <c r="L383" i="7"/>
  <c r="K383" i="7"/>
  <c r="N382" i="7"/>
  <c r="M382" i="7"/>
  <c r="L382" i="7"/>
  <c r="K382" i="7"/>
  <c r="N381" i="7"/>
  <c r="M381" i="7"/>
  <c r="L381" i="7"/>
  <c r="K381" i="7"/>
  <c r="N380" i="7"/>
  <c r="M380" i="7"/>
  <c r="L380" i="7"/>
  <c r="K380" i="7"/>
  <c r="N379" i="7"/>
  <c r="M379" i="7"/>
  <c r="L379" i="7"/>
  <c r="K379" i="7"/>
  <c r="N378" i="7"/>
  <c r="M378" i="7"/>
  <c r="L378" i="7"/>
  <c r="K378" i="7"/>
  <c r="N377" i="7"/>
  <c r="M377" i="7"/>
  <c r="L377" i="7"/>
  <c r="K377" i="7"/>
  <c r="N376" i="7"/>
  <c r="M376" i="7"/>
  <c r="L376" i="7"/>
  <c r="K376" i="7"/>
  <c r="N375" i="7"/>
  <c r="M375" i="7"/>
  <c r="L375" i="7"/>
  <c r="K375" i="7"/>
  <c r="N374" i="7"/>
  <c r="M374" i="7"/>
  <c r="L374" i="7"/>
  <c r="K374" i="7"/>
  <c r="N373" i="7"/>
  <c r="M373" i="7"/>
  <c r="L373" i="7"/>
  <c r="K373" i="7"/>
  <c r="N372" i="7"/>
  <c r="M372" i="7"/>
  <c r="L372" i="7"/>
  <c r="K372" i="7"/>
  <c r="N371" i="7"/>
  <c r="M371" i="7"/>
  <c r="L371" i="7"/>
  <c r="K371" i="7"/>
  <c r="N370" i="7"/>
  <c r="M370" i="7"/>
  <c r="L370" i="7"/>
  <c r="K370" i="7"/>
  <c r="N369" i="7"/>
  <c r="M369" i="7"/>
  <c r="L369" i="7"/>
  <c r="K369" i="7"/>
  <c r="N368" i="7"/>
  <c r="M368" i="7"/>
  <c r="L368" i="7"/>
  <c r="K368" i="7"/>
  <c r="N367" i="7"/>
  <c r="M367" i="7"/>
  <c r="L367" i="7"/>
  <c r="K367" i="7"/>
  <c r="N366" i="7"/>
  <c r="M366" i="7"/>
  <c r="L366" i="7"/>
  <c r="K366" i="7"/>
  <c r="N365" i="7"/>
  <c r="M365" i="7"/>
  <c r="L365" i="7"/>
  <c r="K365" i="7"/>
  <c r="N364" i="7"/>
  <c r="M364" i="7"/>
  <c r="L364" i="7"/>
  <c r="K364" i="7"/>
  <c r="N363" i="7"/>
  <c r="M363" i="7"/>
  <c r="L363" i="7"/>
  <c r="K363" i="7"/>
  <c r="N362" i="7"/>
  <c r="M362" i="7"/>
  <c r="L362" i="7"/>
  <c r="K362" i="7"/>
  <c r="N361" i="7"/>
  <c r="M361" i="7"/>
  <c r="L361" i="7"/>
  <c r="K361" i="7"/>
  <c r="N360" i="7"/>
  <c r="M360" i="7"/>
  <c r="L360" i="7"/>
  <c r="K360" i="7"/>
  <c r="N359" i="7"/>
  <c r="M359" i="7"/>
  <c r="L359" i="7"/>
  <c r="K359" i="7"/>
  <c r="N358" i="7"/>
  <c r="M358" i="7"/>
  <c r="L358" i="7"/>
  <c r="K358" i="7"/>
  <c r="N357" i="7"/>
  <c r="M357" i="7"/>
  <c r="L357" i="7"/>
  <c r="K357" i="7"/>
  <c r="N356" i="7"/>
  <c r="M356" i="7"/>
  <c r="L356" i="7"/>
  <c r="K356" i="7"/>
  <c r="N355" i="7"/>
  <c r="M355" i="7"/>
  <c r="L355" i="7"/>
  <c r="K355" i="7"/>
  <c r="N354" i="7"/>
  <c r="M354" i="7"/>
  <c r="L354" i="7"/>
  <c r="K354" i="7"/>
  <c r="N353" i="7"/>
  <c r="M353" i="7"/>
  <c r="L353" i="7"/>
  <c r="K353" i="7"/>
  <c r="N352" i="7"/>
  <c r="M352" i="7"/>
  <c r="L352" i="7"/>
  <c r="K352" i="7"/>
  <c r="N351" i="7"/>
  <c r="M351" i="7"/>
  <c r="L351" i="7"/>
  <c r="K351" i="7"/>
  <c r="N350" i="7"/>
  <c r="M350" i="7"/>
  <c r="L350" i="7"/>
  <c r="K350" i="7"/>
  <c r="N349" i="7"/>
  <c r="M349" i="7"/>
  <c r="L349" i="7"/>
  <c r="K349" i="7"/>
  <c r="N348" i="7"/>
  <c r="M348" i="7"/>
  <c r="L348" i="7"/>
  <c r="K348" i="7"/>
  <c r="N347" i="7"/>
  <c r="M347" i="7"/>
  <c r="L347" i="7"/>
  <c r="K347" i="7"/>
  <c r="N346" i="7"/>
  <c r="M346" i="7"/>
  <c r="L346" i="7"/>
  <c r="K346" i="7"/>
  <c r="N345" i="7"/>
  <c r="M345" i="7"/>
  <c r="L345" i="7"/>
  <c r="K345" i="7"/>
  <c r="N344" i="7"/>
  <c r="M344" i="7"/>
  <c r="L344" i="7"/>
  <c r="K344" i="7"/>
  <c r="N343" i="7"/>
  <c r="M343" i="7"/>
  <c r="L343" i="7"/>
  <c r="K343" i="7"/>
  <c r="N342" i="7"/>
  <c r="M342" i="7"/>
  <c r="L342" i="7"/>
  <c r="K342" i="7"/>
  <c r="N341" i="7"/>
  <c r="M341" i="7"/>
  <c r="L341" i="7"/>
  <c r="K341" i="7"/>
  <c r="N340" i="7"/>
  <c r="M340" i="7"/>
  <c r="L340" i="7"/>
  <c r="K340" i="7"/>
  <c r="N339" i="7"/>
  <c r="M339" i="7"/>
  <c r="L339" i="7"/>
  <c r="K339" i="7"/>
  <c r="N338" i="7"/>
  <c r="M338" i="7"/>
  <c r="L338" i="7"/>
  <c r="K338" i="7"/>
  <c r="N337" i="7"/>
  <c r="M337" i="7"/>
  <c r="L337" i="7"/>
  <c r="K337" i="7"/>
  <c r="N336" i="7"/>
  <c r="M336" i="7"/>
  <c r="L336" i="7"/>
  <c r="K336" i="7"/>
  <c r="N335" i="7"/>
  <c r="M335" i="7"/>
  <c r="L335" i="7"/>
  <c r="K335" i="7"/>
  <c r="N334" i="7"/>
  <c r="M334" i="7"/>
  <c r="L334" i="7"/>
  <c r="K334" i="7"/>
  <c r="N333" i="7"/>
  <c r="M333" i="7"/>
  <c r="L333" i="7"/>
  <c r="K333" i="7"/>
  <c r="N332" i="7"/>
  <c r="M332" i="7"/>
  <c r="L332" i="7"/>
  <c r="K332" i="7"/>
  <c r="N331" i="7"/>
  <c r="M331" i="7"/>
  <c r="L331" i="7"/>
  <c r="K331" i="7"/>
  <c r="N330" i="7"/>
  <c r="M330" i="7"/>
  <c r="L330" i="7"/>
  <c r="K330" i="7"/>
  <c r="N329" i="7"/>
  <c r="M329" i="7"/>
  <c r="L329" i="7"/>
  <c r="K329" i="7"/>
  <c r="N328" i="7"/>
  <c r="M328" i="7"/>
  <c r="L328" i="7"/>
  <c r="K328" i="7"/>
  <c r="N327" i="7"/>
  <c r="M327" i="7"/>
  <c r="L327" i="7"/>
  <c r="K327" i="7"/>
  <c r="N326" i="7"/>
  <c r="M326" i="7"/>
  <c r="L326" i="7"/>
  <c r="K326" i="7"/>
  <c r="N325" i="7"/>
  <c r="M325" i="7"/>
  <c r="L325" i="7"/>
  <c r="K325" i="7"/>
  <c r="N324" i="7"/>
  <c r="M324" i="7"/>
  <c r="L324" i="7"/>
  <c r="K324" i="7"/>
  <c r="N323" i="7"/>
  <c r="M323" i="7"/>
  <c r="L323" i="7"/>
  <c r="K323" i="7"/>
  <c r="N322" i="7"/>
  <c r="M322" i="7"/>
  <c r="L322" i="7"/>
  <c r="K322" i="7"/>
  <c r="N321" i="7"/>
  <c r="M321" i="7"/>
  <c r="L321" i="7"/>
  <c r="K321" i="7"/>
  <c r="N320" i="7"/>
  <c r="M320" i="7"/>
  <c r="L320" i="7"/>
  <c r="K320" i="7"/>
  <c r="N319" i="7"/>
  <c r="M319" i="7"/>
  <c r="L319" i="7"/>
  <c r="K319" i="7"/>
  <c r="N318" i="7"/>
  <c r="M318" i="7"/>
  <c r="L318" i="7"/>
  <c r="K318" i="7"/>
  <c r="N317" i="7"/>
  <c r="M317" i="7"/>
  <c r="L317" i="7"/>
  <c r="K317" i="7"/>
  <c r="N316" i="7"/>
  <c r="M316" i="7"/>
  <c r="L316" i="7"/>
  <c r="K316" i="7"/>
  <c r="N315" i="7"/>
  <c r="M315" i="7"/>
  <c r="L315" i="7"/>
  <c r="K315" i="7"/>
  <c r="N314" i="7"/>
  <c r="M314" i="7"/>
  <c r="L314" i="7"/>
  <c r="K314" i="7"/>
  <c r="N313" i="7"/>
  <c r="M313" i="7"/>
  <c r="L313" i="7"/>
  <c r="K313" i="7"/>
  <c r="N312" i="7"/>
  <c r="M312" i="7"/>
  <c r="L312" i="7"/>
  <c r="K312" i="7"/>
  <c r="N311" i="7"/>
  <c r="M311" i="7"/>
  <c r="L311" i="7"/>
  <c r="K311" i="7"/>
  <c r="N310" i="7"/>
  <c r="M310" i="7"/>
  <c r="L310" i="7"/>
  <c r="K310" i="7"/>
  <c r="N309" i="7"/>
  <c r="M309" i="7"/>
  <c r="L309" i="7"/>
  <c r="K309" i="7"/>
  <c r="N308" i="7"/>
  <c r="M308" i="7"/>
  <c r="L308" i="7"/>
  <c r="K308" i="7"/>
  <c r="N307" i="7"/>
  <c r="M307" i="7"/>
  <c r="L307" i="7"/>
  <c r="K307" i="7"/>
  <c r="N306" i="7"/>
  <c r="M306" i="7"/>
  <c r="L306" i="7"/>
  <c r="K306" i="7"/>
  <c r="N305" i="7"/>
  <c r="M305" i="7"/>
  <c r="L305" i="7"/>
  <c r="K305" i="7"/>
  <c r="N304" i="7"/>
  <c r="M304" i="7"/>
  <c r="L304" i="7"/>
  <c r="K304" i="7"/>
  <c r="N303" i="7"/>
  <c r="M303" i="7"/>
  <c r="L303" i="7"/>
  <c r="K303" i="7"/>
  <c r="N302" i="7"/>
  <c r="M302" i="7"/>
  <c r="L302" i="7"/>
  <c r="K302" i="7"/>
  <c r="N301" i="7"/>
  <c r="M301" i="7"/>
  <c r="L301" i="7"/>
  <c r="K301" i="7"/>
  <c r="N300" i="7"/>
  <c r="M300" i="7"/>
  <c r="L300" i="7"/>
  <c r="K300" i="7"/>
  <c r="N299" i="7"/>
  <c r="M299" i="7"/>
  <c r="L299" i="7"/>
  <c r="K299" i="7"/>
  <c r="N298" i="7"/>
  <c r="M298" i="7"/>
  <c r="L298" i="7"/>
  <c r="K298" i="7"/>
  <c r="N297" i="7"/>
  <c r="M297" i="7"/>
  <c r="L297" i="7"/>
  <c r="K297" i="7"/>
  <c r="N296" i="7"/>
  <c r="M296" i="7"/>
  <c r="L296" i="7"/>
  <c r="K296" i="7"/>
  <c r="N295" i="7"/>
  <c r="M295" i="7"/>
  <c r="L295" i="7"/>
  <c r="K295" i="7"/>
  <c r="N294" i="7"/>
  <c r="M294" i="7"/>
  <c r="L294" i="7"/>
  <c r="K294" i="7"/>
  <c r="N293" i="7"/>
  <c r="M293" i="7"/>
  <c r="L293" i="7"/>
  <c r="K293" i="7"/>
  <c r="N292" i="7"/>
  <c r="M292" i="7"/>
  <c r="L292" i="7"/>
  <c r="K292" i="7"/>
  <c r="N291" i="7"/>
  <c r="M291" i="7"/>
  <c r="L291" i="7"/>
  <c r="K291" i="7"/>
  <c r="N290" i="7"/>
  <c r="M290" i="7"/>
  <c r="L290" i="7"/>
  <c r="K290" i="7"/>
  <c r="N289" i="7"/>
  <c r="M289" i="7"/>
  <c r="L289" i="7"/>
  <c r="K289" i="7"/>
  <c r="N288" i="7"/>
  <c r="M288" i="7"/>
  <c r="L288" i="7"/>
  <c r="K288" i="7"/>
  <c r="N287" i="7"/>
  <c r="M287" i="7"/>
  <c r="L287" i="7"/>
  <c r="K287" i="7"/>
  <c r="N286" i="7"/>
  <c r="M286" i="7"/>
  <c r="L286" i="7"/>
  <c r="K286" i="7"/>
  <c r="N285" i="7"/>
  <c r="M285" i="7"/>
  <c r="L285" i="7"/>
  <c r="K285" i="7"/>
  <c r="N284" i="7"/>
  <c r="M284" i="7"/>
  <c r="L284" i="7"/>
  <c r="K284" i="7"/>
  <c r="N283" i="7"/>
  <c r="M283" i="7"/>
  <c r="L283" i="7"/>
  <c r="K283" i="7"/>
  <c r="N282" i="7"/>
  <c r="M282" i="7"/>
  <c r="L282" i="7"/>
  <c r="K282" i="7"/>
  <c r="N281" i="7"/>
  <c r="M281" i="7"/>
  <c r="L281" i="7"/>
  <c r="K281" i="7"/>
  <c r="N280" i="7"/>
  <c r="M280" i="7"/>
  <c r="L280" i="7"/>
  <c r="K280" i="7"/>
  <c r="N279" i="7"/>
  <c r="M279" i="7"/>
  <c r="L279" i="7"/>
  <c r="K279" i="7"/>
  <c r="N278" i="7"/>
  <c r="M278" i="7"/>
  <c r="L278" i="7"/>
  <c r="K278" i="7"/>
  <c r="N277" i="7"/>
  <c r="M277" i="7"/>
  <c r="L277" i="7"/>
  <c r="K277" i="7"/>
  <c r="N276" i="7"/>
  <c r="M276" i="7"/>
  <c r="L276" i="7"/>
  <c r="K276" i="7"/>
  <c r="N275" i="7"/>
  <c r="M275" i="7"/>
  <c r="L275" i="7"/>
  <c r="K275" i="7"/>
  <c r="N274" i="7"/>
  <c r="M274" i="7"/>
  <c r="L274" i="7"/>
  <c r="K274" i="7"/>
  <c r="N273" i="7"/>
  <c r="M273" i="7"/>
  <c r="L273" i="7"/>
  <c r="K273" i="7"/>
  <c r="N272" i="7"/>
  <c r="M272" i="7"/>
  <c r="L272" i="7"/>
  <c r="K272" i="7"/>
  <c r="N271" i="7"/>
  <c r="M271" i="7"/>
  <c r="L271" i="7"/>
  <c r="K271" i="7"/>
  <c r="N270" i="7"/>
  <c r="M270" i="7"/>
  <c r="L270" i="7"/>
  <c r="K270" i="7"/>
  <c r="N269" i="7"/>
  <c r="M269" i="7"/>
  <c r="L269" i="7"/>
  <c r="K269" i="7"/>
  <c r="N268" i="7"/>
  <c r="M268" i="7"/>
  <c r="L268" i="7"/>
  <c r="K268" i="7"/>
  <c r="N267" i="7"/>
  <c r="M267" i="7"/>
  <c r="L267" i="7"/>
  <c r="K267" i="7"/>
  <c r="N266" i="7"/>
  <c r="M266" i="7"/>
  <c r="L266" i="7"/>
  <c r="K266" i="7"/>
  <c r="N265" i="7"/>
  <c r="M265" i="7"/>
  <c r="L265" i="7"/>
  <c r="K265" i="7"/>
  <c r="N264" i="7"/>
  <c r="M264" i="7"/>
  <c r="L264" i="7"/>
  <c r="K264" i="7"/>
  <c r="N263" i="7"/>
  <c r="M263" i="7"/>
  <c r="L263" i="7"/>
  <c r="K263" i="7"/>
  <c r="N262" i="7"/>
  <c r="M262" i="7"/>
  <c r="L262" i="7"/>
  <c r="K262" i="7"/>
  <c r="N261" i="7"/>
  <c r="M261" i="7"/>
  <c r="L261" i="7"/>
  <c r="K261" i="7"/>
  <c r="N260" i="7"/>
  <c r="M260" i="7"/>
  <c r="L260" i="7"/>
  <c r="K260" i="7"/>
  <c r="N259" i="7"/>
  <c r="M259" i="7"/>
  <c r="L259" i="7"/>
  <c r="K259" i="7"/>
  <c r="N258" i="7"/>
  <c r="M258" i="7"/>
  <c r="L258" i="7"/>
  <c r="K258" i="7"/>
  <c r="N257" i="7"/>
  <c r="M257" i="7"/>
  <c r="L257" i="7"/>
  <c r="K257" i="7"/>
  <c r="N256" i="7"/>
  <c r="M256" i="7"/>
  <c r="L256" i="7"/>
  <c r="K256" i="7"/>
  <c r="N255" i="7"/>
  <c r="M255" i="7"/>
  <c r="L255" i="7"/>
  <c r="K255" i="7"/>
  <c r="N254" i="7"/>
  <c r="M254" i="7"/>
  <c r="L254" i="7"/>
  <c r="K254" i="7"/>
  <c r="N253" i="7"/>
  <c r="M253" i="7"/>
  <c r="L253" i="7"/>
  <c r="K253" i="7"/>
  <c r="N252" i="7"/>
  <c r="M252" i="7"/>
  <c r="L252" i="7"/>
  <c r="K252" i="7"/>
  <c r="N251" i="7"/>
  <c r="M251" i="7"/>
  <c r="L251" i="7"/>
  <c r="K251" i="7"/>
  <c r="N250" i="7"/>
  <c r="M250" i="7"/>
  <c r="L250" i="7"/>
  <c r="K250" i="7"/>
  <c r="N249" i="7"/>
  <c r="M249" i="7"/>
  <c r="L249" i="7"/>
  <c r="K249" i="7"/>
  <c r="N248" i="7"/>
  <c r="M248" i="7"/>
  <c r="L248" i="7"/>
  <c r="K248" i="7"/>
  <c r="N247" i="7"/>
  <c r="M247" i="7"/>
  <c r="L247" i="7"/>
  <c r="K247" i="7"/>
  <c r="N246" i="7"/>
  <c r="M246" i="7"/>
  <c r="L246" i="7"/>
  <c r="K246" i="7"/>
  <c r="N245" i="7"/>
  <c r="M245" i="7"/>
  <c r="L245" i="7"/>
  <c r="K245" i="7"/>
  <c r="N244" i="7"/>
  <c r="M244" i="7"/>
  <c r="L244" i="7"/>
  <c r="K244" i="7"/>
  <c r="N243" i="7"/>
  <c r="M243" i="7"/>
  <c r="L243" i="7"/>
  <c r="K243" i="7"/>
  <c r="N242" i="7"/>
  <c r="M242" i="7"/>
  <c r="L242" i="7"/>
  <c r="K242" i="7"/>
  <c r="N241" i="7"/>
  <c r="M241" i="7"/>
  <c r="L241" i="7"/>
  <c r="K241" i="7"/>
  <c r="N240" i="7"/>
  <c r="M240" i="7"/>
  <c r="L240" i="7"/>
  <c r="K240" i="7"/>
  <c r="N239" i="7"/>
  <c r="M239" i="7"/>
  <c r="L239" i="7"/>
  <c r="K239" i="7"/>
  <c r="N238" i="7"/>
  <c r="M238" i="7"/>
  <c r="L238" i="7"/>
  <c r="K238" i="7"/>
  <c r="N237" i="7"/>
  <c r="M237" i="7"/>
  <c r="L237" i="7"/>
  <c r="K237" i="7"/>
  <c r="N236" i="7"/>
  <c r="M236" i="7"/>
  <c r="L236" i="7"/>
  <c r="K236" i="7"/>
  <c r="N235" i="7"/>
  <c r="M235" i="7"/>
  <c r="L235" i="7"/>
  <c r="K235" i="7"/>
  <c r="N234" i="7"/>
  <c r="M234" i="7"/>
  <c r="L234" i="7"/>
  <c r="K234" i="7"/>
  <c r="N233" i="7"/>
  <c r="M233" i="7"/>
  <c r="L233" i="7"/>
  <c r="K233" i="7"/>
  <c r="N232" i="7"/>
  <c r="M232" i="7"/>
  <c r="L232" i="7"/>
  <c r="K232" i="7"/>
  <c r="N231" i="7"/>
  <c r="M231" i="7"/>
  <c r="L231" i="7"/>
  <c r="K231" i="7"/>
  <c r="N230" i="7"/>
  <c r="M230" i="7"/>
  <c r="L230" i="7"/>
  <c r="K230" i="7"/>
  <c r="N229" i="7"/>
  <c r="M229" i="7"/>
  <c r="L229" i="7"/>
  <c r="K229" i="7"/>
  <c r="N228" i="7"/>
  <c r="M228" i="7"/>
  <c r="L228" i="7"/>
  <c r="K228" i="7"/>
  <c r="N227" i="7"/>
  <c r="M227" i="7"/>
  <c r="L227" i="7"/>
  <c r="K227" i="7"/>
  <c r="N226" i="7"/>
  <c r="M226" i="7"/>
  <c r="L226" i="7"/>
  <c r="K226" i="7"/>
  <c r="N225" i="7"/>
  <c r="M225" i="7"/>
  <c r="L225" i="7"/>
  <c r="K225" i="7"/>
  <c r="N224" i="7"/>
  <c r="M224" i="7"/>
  <c r="L224" i="7"/>
  <c r="K224" i="7"/>
  <c r="N223" i="7"/>
  <c r="M223" i="7"/>
  <c r="L223" i="7"/>
  <c r="K223" i="7"/>
  <c r="N222" i="7"/>
  <c r="M222" i="7"/>
  <c r="L222" i="7"/>
  <c r="K222" i="7"/>
  <c r="N221" i="7"/>
  <c r="M221" i="7"/>
  <c r="L221" i="7"/>
  <c r="K221" i="7"/>
  <c r="N220" i="7"/>
  <c r="M220" i="7"/>
  <c r="L220" i="7"/>
  <c r="K220" i="7"/>
  <c r="N219" i="7"/>
  <c r="M219" i="7"/>
  <c r="L219" i="7"/>
  <c r="K219" i="7"/>
  <c r="N218" i="7"/>
  <c r="M218" i="7"/>
  <c r="L218" i="7"/>
  <c r="K218" i="7"/>
  <c r="N217" i="7"/>
  <c r="M217" i="7"/>
  <c r="L217" i="7"/>
  <c r="K217" i="7"/>
  <c r="N216" i="7"/>
  <c r="M216" i="7"/>
  <c r="L216" i="7"/>
  <c r="K216" i="7"/>
  <c r="N215" i="7"/>
  <c r="M215" i="7"/>
  <c r="L215" i="7"/>
  <c r="K215" i="7"/>
  <c r="N214" i="7"/>
  <c r="M214" i="7"/>
  <c r="L214" i="7"/>
  <c r="K214" i="7"/>
  <c r="N213" i="7"/>
  <c r="M213" i="7"/>
  <c r="L213" i="7"/>
  <c r="K213" i="7"/>
  <c r="N212" i="7"/>
  <c r="M212" i="7"/>
  <c r="L212" i="7"/>
  <c r="K212" i="7"/>
  <c r="N211" i="7"/>
  <c r="M211" i="7"/>
  <c r="L211" i="7"/>
  <c r="K211" i="7"/>
  <c r="N210" i="7"/>
  <c r="M210" i="7"/>
  <c r="L210" i="7"/>
  <c r="K210" i="7"/>
  <c r="N209" i="7"/>
  <c r="M209" i="7"/>
  <c r="L209" i="7"/>
  <c r="K209" i="7"/>
  <c r="N208" i="7"/>
  <c r="M208" i="7"/>
  <c r="L208" i="7"/>
  <c r="K208" i="7"/>
  <c r="N207" i="7"/>
  <c r="M207" i="7"/>
  <c r="L207" i="7"/>
  <c r="K207" i="7"/>
  <c r="N206" i="7"/>
  <c r="M206" i="7"/>
  <c r="L206" i="7"/>
  <c r="K206" i="7"/>
  <c r="N205" i="7"/>
  <c r="M205" i="7"/>
  <c r="L205" i="7"/>
  <c r="K205" i="7"/>
  <c r="N204" i="7"/>
  <c r="M204" i="7"/>
  <c r="L204" i="7"/>
  <c r="K204" i="7"/>
  <c r="N203" i="7"/>
  <c r="M203" i="7"/>
  <c r="L203" i="7"/>
  <c r="K203" i="7"/>
  <c r="N202" i="7"/>
  <c r="M202" i="7"/>
  <c r="L202" i="7"/>
  <c r="K202" i="7"/>
  <c r="N201" i="7"/>
  <c r="M201" i="7"/>
  <c r="L201" i="7"/>
  <c r="K201" i="7"/>
  <c r="N200" i="7"/>
  <c r="M200" i="7"/>
  <c r="L200" i="7"/>
  <c r="K200" i="7"/>
  <c r="N199" i="7"/>
  <c r="M199" i="7"/>
  <c r="L199" i="7"/>
  <c r="K199" i="7"/>
  <c r="N198" i="7"/>
  <c r="M198" i="7"/>
  <c r="L198" i="7"/>
  <c r="K198" i="7"/>
  <c r="N197" i="7"/>
  <c r="M197" i="7"/>
  <c r="L197" i="7"/>
  <c r="K197" i="7"/>
  <c r="N196" i="7"/>
  <c r="M196" i="7"/>
  <c r="L196" i="7"/>
  <c r="K196" i="7"/>
  <c r="N195" i="7"/>
  <c r="M195" i="7"/>
  <c r="L195" i="7"/>
  <c r="K195" i="7"/>
  <c r="N194" i="7"/>
  <c r="M194" i="7"/>
  <c r="L194" i="7"/>
  <c r="K194" i="7"/>
  <c r="N193" i="7"/>
  <c r="M193" i="7"/>
  <c r="L193" i="7"/>
  <c r="K193" i="7"/>
  <c r="N192" i="7"/>
  <c r="M192" i="7"/>
  <c r="L192" i="7"/>
  <c r="K192" i="7"/>
  <c r="N191" i="7"/>
  <c r="M191" i="7"/>
  <c r="L191" i="7"/>
  <c r="K191" i="7"/>
  <c r="N190" i="7"/>
  <c r="M190" i="7"/>
  <c r="L190" i="7"/>
  <c r="K190" i="7"/>
  <c r="N189" i="7"/>
  <c r="M189" i="7"/>
  <c r="L189" i="7"/>
  <c r="K189" i="7"/>
  <c r="N188" i="7"/>
  <c r="M188" i="7"/>
  <c r="L188" i="7"/>
  <c r="K188" i="7"/>
  <c r="N187" i="7"/>
  <c r="M187" i="7"/>
  <c r="L187" i="7"/>
  <c r="K187" i="7"/>
  <c r="N186" i="7"/>
  <c r="M186" i="7"/>
  <c r="L186" i="7"/>
  <c r="K186" i="7"/>
  <c r="N185" i="7"/>
  <c r="M185" i="7"/>
  <c r="L185" i="7"/>
  <c r="K185" i="7"/>
  <c r="N184" i="7"/>
  <c r="M184" i="7"/>
  <c r="L184" i="7"/>
  <c r="K184" i="7"/>
  <c r="N183" i="7"/>
  <c r="M183" i="7"/>
  <c r="L183" i="7"/>
  <c r="K183" i="7"/>
  <c r="N182" i="7"/>
  <c r="M182" i="7"/>
  <c r="L182" i="7"/>
  <c r="K182" i="7"/>
  <c r="N181" i="7"/>
  <c r="M181" i="7"/>
  <c r="L181" i="7"/>
  <c r="K181" i="7"/>
  <c r="N180" i="7"/>
  <c r="M180" i="7"/>
  <c r="L180" i="7"/>
  <c r="K180" i="7"/>
  <c r="N179" i="7"/>
  <c r="M179" i="7"/>
  <c r="L179" i="7"/>
  <c r="K179" i="7"/>
  <c r="N178" i="7"/>
  <c r="M178" i="7"/>
  <c r="L178" i="7"/>
  <c r="K178" i="7"/>
  <c r="N177" i="7"/>
  <c r="M177" i="7"/>
  <c r="L177" i="7"/>
  <c r="K177" i="7"/>
  <c r="N176" i="7"/>
  <c r="M176" i="7"/>
  <c r="L176" i="7"/>
  <c r="K176" i="7"/>
  <c r="N175" i="7"/>
  <c r="M175" i="7"/>
  <c r="L175" i="7"/>
  <c r="K175" i="7"/>
  <c r="N174" i="7"/>
  <c r="M174" i="7"/>
  <c r="L174" i="7"/>
  <c r="K174" i="7"/>
  <c r="N173" i="7"/>
  <c r="M173" i="7"/>
  <c r="L173" i="7"/>
  <c r="K173" i="7"/>
  <c r="N172" i="7"/>
  <c r="M172" i="7"/>
  <c r="L172" i="7"/>
  <c r="K172" i="7"/>
  <c r="N171" i="7"/>
  <c r="M171" i="7"/>
  <c r="L171" i="7"/>
  <c r="K171" i="7"/>
  <c r="N170" i="7"/>
  <c r="M170" i="7"/>
  <c r="L170" i="7"/>
  <c r="K170" i="7"/>
  <c r="N169" i="7"/>
  <c r="M169" i="7"/>
  <c r="L169" i="7"/>
  <c r="K169" i="7"/>
  <c r="N168" i="7"/>
  <c r="M168" i="7"/>
  <c r="L168" i="7"/>
  <c r="K168" i="7"/>
  <c r="N167" i="7"/>
  <c r="M167" i="7"/>
  <c r="L167" i="7"/>
  <c r="K167" i="7"/>
  <c r="N166" i="7"/>
  <c r="M166" i="7"/>
  <c r="L166" i="7"/>
  <c r="K166" i="7"/>
  <c r="N165" i="7"/>
  <c r="M165" i="7"/>
  <c r="L165" i="7"/>
  <c r="K165" i="7"/>
  <c r="N164" i="7"/>
  <c r="M164" i="7"/>
  <c r="L164" i="7"/>
  <c r="K164" i="7"/>
  <c r="N163" i="7"/>
  <c r="M163" i="7"/>
  <c r="L163" i="7"/>
  <c r="K163" i="7"/>
  <c r="N162" i="7"/>
  <c r="M162" i="7"/>
  <c r="L162" i="7"/>
  <c r="K162" i="7"/>
  <c r="N161" i="7"/>
  <c r="M161" i="7"/>
  <c r="L161" i="7"/>
  <c r="K161" i="7"/>
  <c r="N160" i="7"/>
  <c r="M160" i="7"/>
  <c r="L160" i="7"/>
  <c r="K160" i="7"/>
  <c r="N159" i="7"/>
  <c r="M159" i="7"/>
  <c r="L159" i="7"/>
  <c r="K159" i="7"/>
  <c r="N158" i="7"/>
  <c r="M158" i="7"/>
  <c r="L158" i="7"/>
  <c r="K158" i="7"/>
  <c r="N157" i="7"/>
  <c r="M157" i="7"/>
  <c r="L157" i="7"/>
  <c r="K157" i="7"/>
  <c r="N156" i="7"/>
  <c r="M156" i="7"/>
  <c r="L156" i="7"/>
  <c r="K156" i="7"/>
  <c r="N155" i="7"/>
  <c r="M155" i="7"/>
  <c r="L155" i="7"/>
  <c r="K155" i="7"/>
  <c r="N154" i="7"/>
  <c r="M154" i="7"/>
  <c r="L154" i="7"/>
  <c r="K154" i="7"/>
  <c r="N153" i="7"/>
  <c r="M153" i="7"/>
  <c r="L153" i="7"/>
  <c r="K153" i="7"/>
  <c r="N152" i="7"/>
  <c r="M152" i="7"/>
  <c r="L152" i="7"/>
  <c r="K152" i="7"/>
  <c r="N151" i="7"/>
  <c r="M151" i="7"/>
  <c r="L151" i="7"/>
  <c r="K151" i="7"/>
  <c r="N150" i="7"/>
  <c r="M150" i="7"/>
  <c r="L150" i="7"/>
  <c r="K150" i="7"/>
  <c r="N149" i="7"/>
  <c r="M149" i="7"/>
  <c r="L149" i="7"/>
  <c r="K149" i="7"/>
  <c r="N148" i="7"/>
  <c r="M148" i="7"/>
  <c r="L148" i="7"/>
  <c r="K148" i="7"/>
  <c r="N147" i="7"/>
  <c r="M147" i="7"/>
  <c r="L147" i="7"/>
  <c r="K147" i="7"/>
  <c r="N146" i="7"/>
  <c r="M146" i="7"/>
  <c r="L146" i="7"/>
  <c r="K146" i="7"/>
  <c r="N145" i="7"/>
  <c r="M145" i="7"/>
  <c r="L145" i="7"/>
  <c r="K145" i="7"/>
  <c r="N144" i="7"/>
  <c r="M144" i="7"/>
  <c r="L144" i="7"/>
  <c r="K144" i="7"/>
  <c r="N143" i="7"/>
  <c r="M143" i="7"/>
  <c r="L143" i="7"/>
  <c r="K143" i="7"/>
  <c r="N142" i="7"/>
  <c r="M142" i="7"/>
  <c r="L142" i="7"/>
  <c r="K142" i="7"/>
  <c r="N141" i="7"/>
  <c r="M141" i="7"/>
  <c r="L141" i="7"/>
  <c r="K141" i="7"/>
  <c r="N140" i="7"/>
  <c r="M140" i="7"/>
  <c r="L140" i="7"/>
  <c r="K140" i="7"/>
  <c r="N139" i="7"/>
  <c r="M139" i="7"/>
  <c r="L139" i="7"/>
  <c r="K139" i="7"/>
  <c r="N138" i="7"/>
  <c r="M138" i="7"/>
  <c r="L138" i="7"/>
  <c r="K138" i="7"/>
  <c r="N137" i="7"/>
  <c r="M137" i="7"/>
  <c r="L137" i="7"/>
  <c r="K137" i="7"/>
  <c r="N136" i="7"/>
  <c r="M136" i="7"/>
  <c r="L136" i="7"/>
  <c r="K136" i="7"/>
  <c r="N135" i="7"/>
  <c r="M135" i="7"/>
  <c r="L135" i="7"/>
  <c r="K135" i="7"/>
  <c r="N134" i="7"/>
  <c r="M134" i="7"/>
  <c r="L134" i="7"/>
  <c r="K134" i="7"/>
  <c r="N133" i="7"/>
  <c r="M133" i="7"/>
  <c r="L133" i="7"/>
  <c r="K133" i="7"/>
  <c r="N132" i="7"/>
  <c r="M132" i="7"/>
  <c r="L132" i="7"/>
  <c r="K132" i="7"/>
  <c r="N131" i="7"/>
  <c r="M131" i="7"/>
  <c r="L131" i="7"/>
  <c r="K131" i="7"/>
  <c r="N130" i="7"/>
  <c r="M130" i="7"/>
  <c r="L130" i="7"/>
  <c r="K130" i="7"/>
  <c r="N129" i="7"/>
  <c r="M129" i="7"/>
  <c r="L129" i="7"/>
  <c r="K129" i="7"/>
  <c r="N128" i="7"/>
  <c r="M128" i="7"/>
  <c r="L128" i="7"/>
  <c r="K128" i="7"/>
  <c r="N127" i="7"/>
  <c r="M127" i="7"/>
  <c r="L127" i="7"/>
  <c r="K127" i="7"/>
  <c r="N126" i="7"/>
  <c r="M126" i="7"/>
  <c r="L126" i="7"/>
  <c r="K126" i="7"/>
  <c r="N125" i="7"/>
  <c r="M125" i="7"/>
  <c r="L125" i="7"/>
  <c r="K125" i="7"/>
  <c r="N124" i="7"/>
  <c r="M124" i="7"/>
  <c r="L124" i="7"/>
  <c r="K124" i="7"/>
  <c r="N123" i="7"/>
  <c r="M123" i="7"/>
  <c r="L123" i="7"/>
  <c r="K123" i="7"/>
  <c r="N122" i="7"/>
  <c r="M122" i="7"/>
  <c r="L122" i="7"/>
  <c r="K122" i="7"/>
  <c r="N121" i="7"/>
  <c r="M121" i="7"/>
  <c r="L121" i="7"/>
  <c r="K121" i="7"/>
  <c r="N120" i="7"/>
  <c r="M120" i="7"/>
  <c r="L120" i="7"/>
  <c r="K120" i="7"/>
  <c r="N119" i="7"/>
  <c r="M119" i="7"/>
  <c r="L119" i="7"/>
  <c r="K119" i="7"/>
  <c r="N118" i="7"/>
  <c r="M118" i="7"/>
  <c r="L118" i="7"/>
  <c r="K118" i="7"/>
  <c r="N117" i="7"/>
  <c r="M117" i="7"/>
  <c r="L117" i="7"/>
  <c r="K117" i="7"/>
  <c r="N116" i="7"/>
  <c r="M116" i="7"/>
  <c r="L116" i="7"/>
  <c r="K116" i="7"/>
  <c r="N115" i="7"/>
  <c r="M115" i="7"/>
  <c r="L115" i="7"/>
  <c r="K115" i="7"/>
  <c r="N114" i="7"/>
  <c r="M114" i="7"/>
  <c r="L114" i="7"/>
  <c r="K114" i="7"/>
  <c r="N113" i="7"/>
  <c r="M113" i="7"/>
  <c r="L113" i="7"/>
  <c r="K113" i="7"/>
  <c r="N112" i="7"/>
  <c r="M112" i="7"/>
  <c r="L112" i="7"/>
  <c r="K112" i="7"/>
  <c r="N111" i="7"/>
  <c r="M111" i="7"/>
  <c r="L111" i="7"/>
  <c r="K111" i="7"/>
  <c r="N110" i="7"/>
  <c r="M110" i="7"/>
  <c r="L110" i="7"/>
  <c r="K110" i="7"/>
  <c r="N109" i="7"/>
  <c r="M109" i="7"/>
  <c r="L109" i="7"/>
  <c r="K109" i="7"/>
  <c r="N108" i="7"/>
  <c r="M108" i="7"/>
  <c r="L108" i="7"/>
  <c r="K108" i="7"/>
  <c r="N107" i="7"/>
  <c r="M107" i="7"/>
  <c r="L107" i="7"/>
  <c r="K107" i="7"/>
  <c r="N106" i="7"/>
  <c r="M106" i="7"/>
  <c r="L106" i="7"/>
  <c r="K106" i="7"/>
  <c r="N105" i="7"/>
  <c r="M105" i="7"/>
  <c r="L105" i="7"/>
  <c r="K105" i="7"/>
  <c r="N104" i="7"/>
  <c r="M104" i="7"/>
  <c r="L104" i="7"/>
  <c r="K104" i="7"/>
  <c r="N103" i="7"/>
  <c r="M103" i="7"/>
  <c r="L103" i="7"/>
  <c r="K103" i="7"/>
  <c r="N102" i="7"/>
  <c r="M102" i="7"/>
  <c r="L102" i="7"/>
  <c r="K102" i="7"/>
  <c r="N101" i="7"/>
  <c r="M101" i="7"/>
  <c r="L101" i="7"/>
  <c r="K101" i="7"/>
  <c r="N100" i="7"/>
  <c r="M100" i="7"/>
  <c r="L100" i="7"/>
  <c r="K100" i="7"/>
  <c r="N99" i="7"/>
  <c r="M99" i="7"/>
  <c r="L99" i="7"/>
  <c r="K99" i="7"/>
  <c r="N98" i="7"/>
  <c r="M98" i="7"/>
  <c r="L98" i="7"/>
  <c r="K98" i="7"/>
  <c r="N97" i="7"/>
  <c r="M97" i="7"/>
  <c r="L97" i="7"/>
  <c r="K97" i="7"/>
  <c r="N96" i="7"/>
  <c r="M96" i="7"/>
  <c r="L96" i="7"/>
  <c r="K96" i="7"/>
  <c r="N95" i="7"/>
  <c r="M95" i="7"/>
  <c r="L95" i="7"/>
  <c r="K95" i="7"/>
  <c r="N94" i="7"/>
  <c r="M94" i="7"/>
  <c r="L94" i="7"/>
  <c r="K94" i="7"/>
  <c r="N93" i="7"/>
  <c r="M93" i="7"/>
  <c r="L93" i="7"/>
  <c r="K93" i="7"/>
  <c r="N92" i="7"/>
  <c r="M92" i="7"/>
  <c r="L92" i="7"/>
  <c r="K92" i="7"/>
  <c r="N91" i="7"/>
  <c r="M91" i="7"/>
  <c r="L91" i="7"/>
  <c r="K91" i="7"/>
  <c r="N90" i="7"/>
  <c r="M90" i="7"/>
  <c r="L90" i="7"/>
  <c r="K90" i="7"/>
  <c r="N89" i="7"/>
  <c r="M89" i="7"/>
  <c r="L89" i="7"/>
  <c r="K89" i="7"/>
  <c r="N88" i="7"/>
  <c r="M88" i="7"/>
  <c r="L88" i="7"/>
  <c r="K88" i="7"/>
  <c r="N87" i="7"/>
  <c r="M87" i="7"/>
  <c r="L87" i="7"/>
  <c r="K87" i="7"/>
  <c r="N86" i="7"/>
  <c r="M86" i="7"/>
  <c r="L86" i="7"/>
  <c r="K86" i="7"/>
  <c r="N85" i="7"/>
  <c r="M85" i="7"/>
  <c r="L85" i="7"/>
  <c r="K85" i="7"/>
  <c r="N84" i="7"/>
  <c r="M84" i="7"/>
  <c r="L84" i="7"/>
  <c r="K84" i="7"/>
  <c r="N83" i="7"/>
  <c r="M83" i="7"/>
  <c r="L83" i="7"/>
  <c r="K83" i="7"/>
  <c r="N82" i="7"/>
  <c r="M82" i="7"/>
  <c r="L82" i="7"/>
  <c r="K82" i="7"/>
  <c r="N81" i="7"/>
  <c r="M81" i="7"/>
  <c r="L81" i="7"/>
  <c r="K81" i="7"/>
  <c r="N80" i="7"/>
  <c r="M80" i="7"/>
  <c r="L80" i="7"/>
  <c r="K80" i="7"/>
  <c r="N79" i="7"/>
  <c r="M79" i="7"/>
  <c r="L79" i="7"/>
  <c r="K79" i="7"/>
  <c r="N78" i="7"/>
  <c r="M78" i="7"/>
  <c r="L78" i="7"/>
  <c r="K78" i="7"/>
  <c r="N77" i="7"/>
  <c r="M77" i="7"/>
  <c r="L77" i="7"/>
  <c r="K77" i="7"/>
  <c r="N76" i="7"/>
  <c r="M76" i="7"/>
  <c r="L76" i="7"/>
  <c r="K76" i="7"/>
  <c r="N75" i="7"/>
  <c r="M75" i="7"/>
  <c r="L75" i="7"/>
  <c r="K75" i="7"/>
  <c r="N74" i="7"/>
  <c r="M74" i="7"/>
  <c r="L74" i="7"/>
  <c r="K74" i="7"/>
  <c r="N73" i="7"/>
  <c r="M73" i="7"/>
  <c r="L73" i="7"/>
  <c r="K73" i="7"/>
  <c r="N72" i="7"/>
  <c r="M72" i="7"/>
  <c r="L72" i="7"/>
  <c r="K72" i="7"/>
  <c r="N71" i="7"/>
  <c r="M71" i="7"/>
  <c r="L71" i="7"/>
  <c r="K71" i="7"/>
  <c r="N70" i="7"/>
  <c r="M70" i="7"/>
  <c r="L70" i="7"/>
  <c r="K70" i="7"/>
  <c r="N69" i="7"/>
  <c r="M69" i="7"/>
  <c r="L69" i="7"/>
  <c r="K69" i="7"/>
  <c r="N68" i="7"/>
  <c r="M68" i="7"/>
  <c r="L68" i="7"/>
  <c r="K68" i="7"/>
  <c r="N67" i="7"/>
  <c r="M67" i="7"/>
  <c r="L67" i="7"/>
  <c r="K67" i="7"/>
  <c r="N66" i="7"/>
  <c r="M66" i="7"/>
  <c r="L66" i="7"/>
  <c r="K66" i="7"/>
  <c r="N65" i="7"/>
  <c r="M65" i="7"/>
  <c r="L65" i="7"/>
  <c r="K65" i="7"/>
  <c r="N64" i="7"/>
  <c r="M64" i="7"/>
  <c r="L64" i="7"/>
  <c r="K64" i="7"/>
  <c r="N63" i="7"/>
  <c r="M63" i="7"/>
  <c r="L63" i="7"/>
  <c r="K63" i="7"/>
  <c r="N62" i="7"/>
  <c r="M62" i="7"/>
  <c r="L62" i="7"/>
  <c r="K62" i="7"/>
  <c r="N61" i="7"/>
  <c r="M61" i="7"/>
  <c r="L61" i="7"/>
  <c r="K61" i="7"/>
  <c r="N60" i="7"/>
  <c r="M60" i="7"/>
  <c r="L60" i="7"/>
  <c r="K60" i="7"/>
  <c r="N59" i="7"/>
  <c r="M59" i="7"/>
  <c r="L59" i="7"/>
  <c r="K59" i="7"/>
  <c r="N58" i="7"/>
  <c r="M58" i="7"/>
  <c r="L58" i="7"/>
  <c r="K58" i="7"/>
  <c r="N57" i="7"/>
  <c r="M57" i="7"/>
  <c r="L57" i="7"/>
  <c r="K57" i="7"/>
  <c r="N56" i="7"/>
  <c r="M56" i="7"/>
  <c r="L56" i="7"/>
  <c r="K56" i="7"/>
  <c r="N55" i="7"/>
  <c r="M55" i="7"/>
  <c r="L55" i="7"/>
  <c r="K55" i="7"/>
  <c r="N54" i="7"/>
  <c r="M54" i="7"/>
  <c r="L54" i="7"/>
  <c r="K54" i="7"/>
  <c r="N53" i="7"/>
  <c r="M53" i="7"/>
  <c r="L53" i="7"/>
  <c r="K53" i="7"/>
  <c r="N52" i="7"/>
  <c r="M52" i="7"/>
  <c r="L52" i="7"/>
  <c r="K52" i="7"/>
  <c r="N51" i="7"/>
  <c r="M51" i="7"/>
  <c r="L51" i="7"/>
  <c r="K51" i="7"/>
  <c r="N50" i="7"/>
  <c r="M50" i="7"/>
  <c r="L50" i="7"/>
  <c r="K50" i="7"/>
  <c r="N49" i="7"/>
  <c r="M49" i="7"/>
  <c r="L49" i="7"/>
  <c r="K49" i="7"/>
  <c r="N48" i="7"/>
  <c r="M48" i="7"/>
  <c r="L48" i="7"/>
  <c r="K48" i="7"/>
  <c r="N47" i="7"/>
  <c r="M47" i="7"/>
  <c r="L47" i="7"/>
  <c r="K47" i="7"/>
  <c r="N46" i="7"/>
  <c r="M46" i="7"/>
  <c r="L46" i="7"/>
  <c r="K46" i="7"/>
  <c r="N45" i="7"/>
  <c r="M45" i="7"/>
  <c r="L45" i="7"/>
  <c r="K45" i="7"/>
  <c r="N44" i="7"/>
  <c r="M44" i="7"/>
  <c r="L44" i="7"/>
  <c r="K44" i="7"/>
  <c r="N43" i="7"/>
  <c r="M43" i="7"/>
  <c r="L43" i="7"/>
  <c r="K43" i="7"/>
  <c r="N42" i="7"/>
  <c r="M42" i="7"/>
  <c r="L42" i="7"/>
  <c r="K42" i="7"/>
  <c r="N41" i="7"/>
  <c r="M41" i="7"/>
  <c r="L41" i="7"/>
  <c r="K41" i="7"/>
  <c r="N40" i="7"/>
  <c r="M40" i="7"/>
  <c r="L40" i="7"/>
  <c r="K40" i="7"/>
  <c r="N39" i="7"/>
  <c r="M39" i="7"/>
  <c r="L39" i="7"/>
  <c r="K39" i="7"/>
  <c r="N38" i="7"/>
  <c r="M38" i="7"/>
  <c r="L38" i="7"/>
  <c r="K38" i="7"/>
  <c r="N37" i="7"/>
  <c r="M37" i="7"/>
  <c r="L37" i="7"/>
  <c r="K37" i="7"/>
  <c r="N36" i="7"/>
  <c r="M36" i="7"/>
  <c r="L36" i="7"/>
  <c r="K36" i="7"/>
  <c r="N35" i="7"/>
  <c r="M35" i="7"/>
  <c r="L35" i="7"/>
  <c r="K35" i="7"/>
  <c r="N34" i="7"/>
  <c r="M34" i="7"/>
  <c r="L34" i="7"/>
  <c r="K34" i="7"/>
  <c r="N33" i="7"/>
  <c r="M33" i="7"/>
  <c r="L33" i="7"/>
  <c r="K33" i="7"/>
  <c r="N32" i="7"/>
  <c r="M32" i="7"/>
  <c r="L32" i="7"/>
  <c r="K32" i="7"/>
  <c r="N31" i="7"/>
  <c r="M31" i="7"/>
  <c r="L31" i="7"/>
  <c r="K31" i="7"/>
  <c r="N30" i="7"/>
  <c r="M30" i="7"/>
  <c r="L30" i="7"/>
  <c r="K30" i="7"/>
  <c r="N29" i="7"/>
  <c r="M29" i="7"/>
  <c r="L29" i="7"/>
  <c r="K29" i="7"/>
  <c r="N28" i="7"/>
  <c r="M28" i="7"/>
  <c r="L28" i="7"/>
  <c r="K28" i="7"/>
  <c r="N27" i="7"/>
  <c r="M27" i="7"/>
  <c r="L27" i="7"/>
  <c r="K27" i="7"/>
  <c r="N26" i="7"/>
  <c r="M26" i="7"/>
  <c r="L26" i="7"/>
  <c r="K26" i="7"/>
  <c r="N25" i="7"/>
  <c r="M25" i="7"/>
  <c r="L25" i="7"/>
  <c r="K25" i="7"/>
  <c r="N24" i="7"/>
  <c r="M24" i="7"/>
  <c r="L24" i="7"/>
  <c r="K24" i="7"/>
  <c r="N23" i="7"/>
  <c r="M23" i="7"/>
  <c r="L23" i="7"/>
  <c r="K23" i="7"/>
  <c r="N22" i="7"/>
  <c r="M22" i="7"/>
  <c r="L22" i="7"/>
  <c r="K22" i="7"/>
  <c r="N21" i="7"/>
  <c r="M21" i="7"/>
  <c r="L21" i="7"/>
  <c r="K21" i="7"/>
  <c r="N20" i="7"/>
  <c r="M20" i="7"/>
  <c r="L20" i="7"/>
  <c r="K20" i="7"/>
  <c r="N19" i="7"/>
  <c r="M19" i="7"/>
  <c r="L19" i="7"/>
  <c r="K19" i="7"/>
  <c r="N18" i="7"/>
  <c r="M18" i="7"/>
  <c r="L18" i="7"/>
  <c r="K18" i="7"/>
  <c r="N17" i="7"/>
  <c r="M17" i="7"/>
  <c r="L17" i="7"/>
  <c r="K17" i="7"/>
  <c r="N16" i="7"/>
  <c r="M16" i="7"/>
  <c r="L16" i="7"/>
  <c r="K16" i="7"/>
  <c r="N15" i="7"/>
  <c r="M15" i="7"/>
  <c r="L15" i="7"/>
  <c r="K15" i="7"/>
  <c r="N14" i="7"/>
  <c r="M14" i="7"/>
  <c r="L14" i="7"/>
  <c r="K14" i="7"/>
  <c r="N13" i="7"/>
  <c r="M13" i="7"/>
  <c r="L13" i="7"/>
  <c r="K13" i="7"/>
  <c r="N12" i="7"/>
  <c r="M12" i="7"/>
  <c r="L12" i="7"/>
  <c r="K12" i="7"/>
  <c r="N11" i="7"/>
  <c r="M11" i="7"/>
  <c r="L11" i="7"/>
  <c r="K11" i="7"/>
  <c r="N10" i="7"/>
  <c r="M10" i="7"/>
  <c r="L10" i="7"/>
  <c r="K10" i="7"/>
  <c r="N9" i="7"/>
  <c r="M9" i="7"/>
  <c r="L9" i="7"/>
  <c r="K9" i="7"/>
  <c r="N8" i="7"/>
  <c r="M8" i="7"/>
  <c r="L8" i="7"/>
  <c r="K8" i="7"/>
  <c r="N7" i="7"/>
  <c r="M7" i="7"/>
  <c r="L7" i="7"/>
  <c r="K7" i="7"/>
  <c r="N6" i="7"/>
  <c r="M6" i="7"/>
  <c r="L6" i="7"/>
  <c r="K6" i="7"/>
  <c r="N5" i="7"/>
  <c r="M5" i="7"/>
  <c r="L5" i="7"/>
  <c r="K5" i="7"/>
  <c r="N4" i="7"/>
  <c r="M4" i="7"/>
  <c r="L4" i="7"/>
  <c r="K4" i="7"/>
  <c r="N3" i="7"/>
  <c r="M3" i="7"/>
  <c r="L3" i="7"/>
  <c r="K3" i="7"/>
  <c r="N2" i="7"/>
  <c r="M2" i="7"/>
  <c r="L2" i="7"/>
  <c r="K2" i="7"/>
  <c r="L401" i="5"/>
  <c r="K401" i="5"/>
  <c r="J401" i="5"/>
  <c r="L400" i="5"/>
  <c r="K400" i="5"/>
  <c r="J400" i="5"/>
  <c r="L399" i="5"/>
  <c r="K399" i="5"/>
  <c r="J399" i="5"/>
  <c r="L398" i="5"/>
  <c r="K398" i="5"/>
  <c r="J398" i="5"/>
  <c r="L397" i="5"/>
  <c r="K397" i="5"/>
  <c r="J397" i="5"/>
  <c r="L396" i="5"/>
  <c r="K396" i="5"/>
  <c r="J396" i="5"/>
  <c r="L395" i="5"/>
  <c r="K395" i="5"/>
  <c r="J395" i="5"/>
  <c r="L394" i="5"/>
  <c r="K394" i="5"/>
  <c r="J394" i="5"/>
  <c r="L393" i="5"/>
  <c r="K393" i="5"/>
  <c r="J393" i="5"/>
  <c r="L392" i="5"/>
  <c r="K392" i="5"/>
  <c r="J392" i="5"/>
  <c r="L391" i="5"/>
  <c r="K391" i="5"/>
  <c r="J391" i="5"/>
  <c r="L390" i="5"/>
  <c r="K390" i="5"/>
  <c r="J390" i="5"/>
  <c r="L389" i="5"/>
  <c r="K389" i="5"/>
  <c r="J389" i="5"/>
  <c r="L388" i="5"/>
  <c r="K388" i="5"/>
  <c r="J388" i="5"/>
  <c r="L387" i="5"/>
  <c r="K387" i="5"/>
  <c r="J387" i="5"/>
  <c r="L386" i="5"/>
  <c r="K386" i="5"/>
  <c r="J386" i="5"/>
  <c r="L385" i="5"/>
  <c r="K385" i="5"/>
  <c r="J385" i="5"/>
  <c r="L384" i="5"/>
  <c r="K384" i="5"/>
  <c r="J384" i="5"/>
  <c r="L383" i="5"/>
  <c r="K383" i="5"/>
  <c r="J383" i="5"/>
  <c r="L382" i="5"/>
  <c r="K382" i="5"/>
  <c r="J382" i="5"/>
  <c r="L381" i="5"/>
  <c r="K381" i="5"/>
  <c r="J381" i="5"/>
  <c r="L380" i="5"/>
  <c r="K380" i="5"/>
  <c r="J380" i="5"/>
  <c r="L379" i="5"/>
  <c r="K379" i="5"/>
  <c r="J379" i="5"/>
  <c r="L378" i="5"/>
  <c r="K378" i="5"/>
  <c r="J378" i="5"/>
  <c r="L377" i="5"/>
  <c r="K377" i="5"/>
  <c r="J377" i="5"/>
  <c r="L376" i="5"/>
  <c r="K376" i="5"/>
  <c r="J376" i="5"/>
  <c r="L375" i="5"/>
  <c r="K375" i="5"/>
  <c r="J375" i="5"/>
  <c r="L374" i="5"/>
  <c r="K374" i="5"/>
  <c r="J374" i="5"/>
  <c r="L373" i="5"/>
  <c r="K373" i="5"/>
  <c r="J373" i="5"/>
  <c r="L372" i="5"/>
  <c r="K372" i="5"/>
  <c r="J372" i="5"/>
  <c r="L371" i="5"/>
  <c r="K371" i="5"/>
  <c r="J371" i="5"/>
  <c r="L370" i="5"/>
  <c r="K370" i="5"/>
  <c r="J370" i="5"/>
  <c r="L369" i="5"/>
  <c r="K369" i="5"/>
  <c r="J369" i="5"/>
  <c r="L368" i="5"/>
  <c r="K368" i="5"/>
  <c r="J368" i="5"/>
  <c r="L367" i="5"/>
  <c r="K367" i="5"/>
  <c r="J367" i="5"/>
  <c r="L366" i="5"/>
  <c r="K366" i="5"/>
  <c r="J366" i="5"/>
  <c r="L365" i="5"/>
  <c r="K365" i="5"/>
  <c r="J365" i="5"/>
  <c r="L364" i="5"/>
  <c r="K364" i="5"/>
  <c r="J364" i="5"/>
  <c r="L363" i="5"/>
  <c r="K363" i="5"/>
  <c r="J363" i="5"/>
  <c r="L362" i="5"/>
  <c r="K362" i="5"/>
  <c r="J362" i="5"/>
  <c r="L361" i="5"/>
  <c r="K361" i="5"/>
  <c r="J361" i="5"/>
  <c r="L360" i="5"/>
  <c r="K360" i="5"/>
  <c r="J360" i="5"/>
  <c r="L359" i="5"/>
  <c r="K359" i="5"/>
  <c r="J359" i="5"/>
  <c r="L358" i="5"/>
  <c r="K358" i="5"/>
  <c r="J358" i="5"/>
  <c r="L357" i="5"/>
  <c r="K357" i="5"/>
  <c r="J357" i="5"/>
  <c r="L356" i="5"/>
  <c r="K356" i="5"/>
  <c r="J356" i="5"/>
  <c r="L355" i="5"/>
  <c r="K355" i="5"/>
  <c r="J355" i="5"/>
  <c r="L354" i="5"/>
  <c r="K354" i="5"/>
  <c r="J354" i="5"/>
  <c r="L353" i="5"/>
  <c r="K353" i="5"/>
  <c r="J353" i="5"/>
  <c r="L352" i="5"/>
  <c r="K352" i="5"/>
  <c r="J352" i="5"/>
  <c r="L351" i="5"/>
  <c r="K351" i="5"/>
  <c r="J351" i="5"/>
  <c r="L350" i="5"/>
  <c r="K350" i="5"/>
  <c r="J350" i="5"/>
  <c r="L349" i="5"/>
  <c r="K349" i="5"/>
  <c r="J349" i="5"/>
  <c r="L348" i="5"/>
  <c r="K348" i="5"/>
  <c r="J348" i="5"/>
  <c r="L347" i="5"/>
  <c r="K347" i="5"/>
  <c r="J347" i="5"/>
  <c r="L346" i="5"/>
  <c r="K346" i="5"/>
  <c r="J346" i="5"/>
  <c r="L345" i="5"/>
  <c r="K345" i="5"/>
  <c r="J345" i="5"/>
  <c r="L344" i="5"/>
  <c r="K344" i="5"/>
  <c r="J344" i="5"/>
  <c r="L343" i="5"/>
  <c r="K343" i="5"/>
  <c r="J343" i="5"/>
  <c r="L342" i="5"/>
  <c r="K342" i="5"/>
  <c r="J342" i="5"/>
  <c r="L341" i="5"/>
  <c r="K341" i="5"/>
  <c r="J341" i="5"/>
  <c r="L340" i="5"/>
  <c r="K340" i="5"/>
  <c r="J340" i="5"/>
  <c r="L339" i="5"/>
  <c r="K339" i="5"/>
  <c r="J339" i="5"/>
  <c r="L338" i="5"/>
  <c r="K338" i="5"/>
  <c r="J338" i="5"/>
  <c r="L337" i="5"/>
  <c r="K337" i="5"/>
  <c r="J337" i="5"/>
  <c r="L336" i="5"/>
  <c r="K336" i="5"/>
  <c r="J336" i="5"/>
  <c r="L335" i="5"/>
  <c r="K335" i="5"/>
  <c r="J335" i="5"/>
  <c r="L334" i="5"/>
  <c r="K334" i="5"/>
  <c r="J334" i="5"/>
  <c r="L333" i="5"/>
  <c r="K333" i="5"/>
  <c r="J333" i="5"/>
  <c r="L332" i="5"/>
  <c r="K332" i="5"/>
  <c r="J332" i="5"/>
  <c r="L331" i="5"/>
  <c r="K331" i="5"/>
  <c r="J331" i="5"/>
  <c r="L330" i="5"/>
  <c r="K330" i="5"/>
  <c r="J330" i="5"/>
  <c r="L329" i="5"/>
  <c r="K329" i="5"/>
  <c r="J329" i="5"/>
  <c r="L328" i="5"/>
  <c r="K328" i="5"/>
  <c r="J328" i="5"/>
  <c r="L327" i="5"/>
  <c r="K327" i="5"/>
  <c r="J327" i="5"/>
  <c r="L326" i="5"/>
  <c r="K326" i="5"/>
  <c r="J326" i="5"/>
  <c r="L325" i="5"/>
  <c r="K325" i="5"/>
  <c r="J325" i="5"/>
  <c r="L324" i="5"/>
  <c r="K324" i="5"/>
  <c r="J324" i="5"/>
  <c r="L323" i="5"/>
  <c r="K323" i="5"/>
  <c r="J323" i="5"/>
  <c r="L322" i="5"/>
  <c r="K322" i="5"/>
  <c r="J322" i="5"/>
  <c r="L321" i="5"/>
  <c r="K321" i="5"/>
  <c r="J321" i="5"/>
  <c r="L320" i="5"/>
  <c r="K320" i="5"/>
  <c r="J320" i="5"/>
  <c r="L319" i="5"/>
  <c r="K319" i="5"/>
  <c r="J319" i="5"/>
  <c r="L318" i="5"/>
  <c r="K318" i="5"/>
  <c r="J318" i="5"/>
  <c r="L317" i="5"/>
  <c r="K317" i="5"/>
  <c r="J317" i="5"/>
  <c r="L316" i="5"/>
  <c r="K316" i="5"/>
  <c r="J316" i="5"/>
  <c r="L315" i="5"/>
  <c r="K315" i="5"/>
  <c r="J315" i="5"/>
  <c r="L314" i="5"/>
  <c r="K314" i="5"/>
  <c r="J314" i="5"/>
  <c r="L313" i="5"/>
  <c r="K313" i="5"/>
  <c r="J313" i="5"/>
  <c r="L312" i="5"/>
  <c r="K312" i="5"/>
  <c r="J312" i="5"/>
  <c r="L311" i="5"/>
  <c r="K311" i="5"/>
  <c r="J311" i="5"/>
  <c r="L310" i="5"/>
  <c r="K310" i="5"/>
  <c r="J310" i="5"/>
  <c r="L309" i="5"/>
  <c r="K309" i="5"/>
  <c r="J309" i="5"/>
  <c r="L308" i="5"/>
  <c r="K308" i="5"/>
  <c r="J308" i="5"/>
  <c r="L307" i="5"/>
  <c r="K307" i="5"/>
  <c r="J307" i="5"/>
  <c r="L306" i="5"/>
  <c r="K306" i="5"/>
  <c r="J306" i="5"/>
  <c r="L305" i="5"/>
  <c r="K305" i="5"/>
  <c r="J305" i="5"/>
  <c r="L304" i="5"/>
  <c r="K304" i="5"/>
  <c r="J304" i="5"/>
  <c r="L303" i="5"/>
  <c r="K303" i="5"/>
  <c r="J303" i="5"/>
  <c r="L302" i="5"/>
  <c r="K302" i="5"/>
  <c r="J302" i="5"/>
  <c r="L301" i="5"/>
  <c r="K301" i="5"/>
  <c r="J301" i="5"/>
  <c r="L300" i="5"/>
  <c r="K300" i="5"/>
  <c r="J300" i="5"/>
  <c r="L299" i="5"/>
  <c r="K299" i="5"/>
  <c r="J299" i="5"/>
  <c r="L298" i="5"/>
  <c r="K298" i="5"/>
  <c r="J298" i="5"/>
  <c r="L297" i="5"/>
  <c r="K297" i="5"/>
  <c r="J297" i="5"/>
  <c r="L296" i="5"/>
  <c r="K296" i="5"/>
  <c r="J296" i="5"/>
  <c r="L295" i="5"/>
  <c r="K295" i="5"/>
  <c r="J295" i="5"/>
  <c r="L294" i="5"/>
  <c r="K294" i="5"/>
  <c r="J294" i="5"/>
  <c r="L293" i="5"/>
  <c r="K293" i="5"/>
  <c r="J293" i="5"/>
  <c r="L292" i="5"/>
  <c r="K292" i="5"/>
  <c r="J292" i="5"/>
  <c r="L291" i="5"/>
  <c r="K291" i="5"/>
  <c r="J291" i="5"/>
  <c r="L290" i="5"/>
  <c r="K290" i="5"/>
  <c r="J290" i="5"/>
  <c r="L289" i="5"/>
  <c r="K289" i="5"/>
  <c r="J289" i="5"/>
  <c r="L288" i="5"/>
  <c r="K288" i="5"/>
  <c r="J288" i="5"/>
  <c r="L287" i="5"/>
  <c r="K287" i="5"/>
  <c r="J287" i="5"/>
  <c r="L286" i="5"/>
  <c r="K286" i="5"/>
  <c r="J286" i="5"/>
  <c r="L285" i="5"/>
  <c r="K285" i="5"/>
  <c r="J285" i="5"/>
  <c r="L284" i="5"/>
  <c r="K284" i="5"/>
  <c r="J284" i="5"/>
  <c r="L283" i="5"/>
  <c r="K283" i="5"/>
  <c r="J283" i="5"/>
  <c r="L282" i="5"/>
  <c r="K282" i="5"/>
  <c r="J282" i="5"/>
  <c r="L281" i="5"/>
  <c r="K281" i="5"/>
  <c r="J281" i="5"/>
  <c r="L280" i="5"/>
  <c r="K280" i="5"/>
  <c r="J280" i="5"/>
  <c r="L279" i="5"/>
  <c r="K279" i="5"/>
  <c r="J279" i="5"/>
  <c r="L278" i="5"/>
  <c r="K278" i="5"/>
  <c r="J278" i="5"/>
  <c r="L277" i="5"/>
  <c r="K277" i="5"/>
  <c r="J277" i="5"/>
  <c r="L276" i="5"/>
  <c r="K276" i="5"/>
  <c r="J276" i="5"/>
  <c r="L275" i="5"/>
  <c r="K275" i="5"/>
  <c r="J275" i="5"/>
  <c r="L274" i="5"/>
  <c r="K274" i="5"/>
  <c r="J274" i="5"/>
  <c r="L273" i="5"/>
  <c r="K273" i="5"/>
  <c r="J273" i="5"/>
  <c r="L272" i="5"/>
  <c r="K272" i="5"/>
  <c r="J272" i="5"/>
  <c r="L271" i="5"/>
  <c r="K271" i="5"/>
  <c r="J271" i="5"/>
  <c r="L270" i="5"/>
  <c r="K270" i="5"/>
  <c r="J270" i="5"/>
  <c r="L269" i="5"/>
  <c r="K269" i="5"/>
  <c r="J269" i="5"/>
  <c r="L268" i="5"/>
  <c r="K268" i="5"/>
  <c r="J268" i="5"/>
  <c r="L267" i="5"/>
  <c r="K267" i="5"/>
  <c r="J267" i="5"/>
  <c r="L266" i="5"/>
  <c r="K266" i="5"/>
  <c r="J266" i="5"/>
  <c r="L265" i="5"/>
  <c r="K265" i="5"/>
  <c r="J265" i="5"/>
  <c r="L264" i="5"/>
  <c r="K264" i="5"/>
  <c r="J264" i="5"/>
  <c r="L263" i="5"/>
  <c r="K263" i="5"/>
  <c r="J263" i="5"/>
  <c r="L262" i="5"/>
  <c r="K262" i="5"/>
  <c r="J262" i="5"/>
  <c r="L261" i="5"/>
  <c r="K261" i="5"/>
  <c r="J261" i="5"/>
  <c r="L260" i="5"/>
  <c r="K260" i="5"/>
  <c r="J260" i="5"/>
  <c r="L259" i="5"/>
  <c r="K259" i="5"/>
  <c r="J259" i="5"/>
  <c r="L258" i="5"/>
  <c r="K258" i="5"/>
  <c r="J258" i="5"/>
  <c r="L257" i="5"/>
  <c r="K257" i="5"/>
  <c r="J257" i="5"/>
  <c r="L256" i="5"/>
  <c r="K256" i="5"/>
  <c r="J256" i="5"/>
  <c r="L255" i="5"/>
  <c r="K255" i="5"/>
  <c r="J255" i="5"/>
  <c r="L254" i="5"/>
  <c r="K254" i="5"/>
  <c r="J254" i="5"/>
  <c r="L253" i="5"/>
  <c r="K253" i="5"/>
  <c r="J253" i="5"/>
  <c r="L252" i="5"/>
  <c r="K252" i="5"/>
  <c r="J252" i="5"/>
  <c r="L251" i="5"/>
  <c r="K251" i="5"/>
  <c r="J251" i="5"/>
  <c r="L250" i="5"/>
  <c r="K250" i="5"/>
  <c r="J250" i="5"/>
  <c r="L249" i="5"/>
  <c r="K249" i="5"/>
  <c r="J249" i="5"/>
  <c r="L248" i="5"/>
  <c r="K248" i="5"/>
  <c r="J248" i="5"/>
  <c r="L247" i="5"/>
  <c r="K247" i="5"/>
  <c r="J247" i="5"/>
  <c r="L246" i="5"/>
  <c r="K246" i="5"/>
  <c r="J246" i="5"/>
  <c r="L245" i="5"/>
  <c r="K245" i="5"/>
  <c r="J245" i="5"/>
  <c r="L244" i="5"/>
  <c r="K244" i="5"/>
  <c r="J244" i="5"/>
  <c r="L243" i="5"/>
  <c r="K243" i="5"/>
  <c r="J243" i="5"/>
  <c r="L242" i="5"/>
  <c r="K242" i="5"/>
  <c r="J242" i="5"/>
  <c r="L241" i="5"/>
  <c r="K241" i="5"/>
  <c r="J241" i="5"/>
  <c r="L240" i="5"/>
  <c r="K240" i="5"/>
  <c r="J240" i="5"/>
  <c r="L239" i="5"/>
  <c r="K239" i="5"/>
  <c r="J239" i="5"/>
  <c r="L238" i="5"/>
  <c r="K238" i="5"/>
  <c r="J238" i="5"/>
  <c r="L237" i="5"/>
  <c r="K237" i="5"/>
  <c r="J237" i="5"/>
  <c r="L236" i="5"/>
  <c r="K236" i="5"/>
  <c r="J236" i="5"/>
  <c r="L235" i="5"/>
  <c r="K235" i="5"/>
  <c r="J235" i="5"/>
  <c r="L234" i="5"/>
  <c r="K234" i="5"/>
  <c r="J234" i="5"/>
  <c r="L233" i="5"/>
  <c r="K233" i="5"/>
  <c r="J233" i="5"/>
  <c r="L232" i="5"/>
  <c r="K232" i="5"/>
  <c r="J232" i="5"/>
  <c r="L231" i="5"/>
  <c r="K231" i="5"/>
  <c r="J231" i="5"/>
  <c r="L230" i="5"/>
  <c r="K230" i="5"/>
  <c r="J230" i="5"/>
  <c r="L229" i="5"/>
  <c r="K229" i="5"/>
  <c r="J229" i="5"/>
  <c r="L228" i="5"/>
  <c r="K228" i="5"/>
  <c r="J228" i="5"/>
  <c r="L227" i="5"/>
  <c r="K227" i="5"/>
  <c r="J227" i="5"/>
  <c r="L226" i="5"/>
  <c r="K226" i="5"/>
  <c r="J226" i="5"/>
  <c r="L225" i="5"/>
  <c r="K225" i="5"/>
  <c r="J225" i="5"/>
  <c r="L224" i="5"/>
  <c r="K224" i="5"/>
  <c r="J224" i="5"/>
  <c r="L223" i="5"/>
  <c r="K223" i="5"/>
  <c r="J223" i="5"/>
  <c r="L222" i="5"/>
  <c r="K222" i="5"/>
  <c r="J222" i="5"/>
  <c r="L221" i="5"/>
  <c r="K221" i="5"/>
  <c r="J221" i="5"/>
  <c r="L220" i="5"/>
  <c r="K220" i="5"/>
  <c r="J220" i="5"/>
  <c r="L219" i="5"/>
  <c r="K219" i="5"/>
  <c r="J219" i="5"/>
  <c r="L218" i="5"/>
  <c r="K218" i="5"/>
  <c r="J218" i="5"/>
  <c r="L217" i="5"/>
  <c r="K217" i="5"/>
  <c r="J217" i="5"/>
  <c r="L216" i="5"/>
  <c r="K216" i="5"/>
  <c r="J216" i="5"/>
  <c r="L215" i="5"/>
  <c r="K215" i="5"/>
  <c r="J215" i="5"/>
  <c r="L214" i="5"/>
  <c r="K214" i="5"/>
  <c r="J214" i="5"/>
  <c r="L213" i="5"/>
  <c r="K213" i="5"/>
  <c r="J213" i="5"/>
  <c r="L212" i="5"/>
  <c r="K212" i="5"/>
  <c r="J212" i="5"/>
  <c r="L211" i="5"/>
  <c r="K211" i="5"/>
  <c r="J211" i="5"/>
  <c r="L210" i="5"/>
  <c r="K210" i="5"/>
  <c r="J210" i="5"/>
  <c r="L209" i="5"/>
  <c r="K209" i="5"/>
  <c r="J209" i="5"/>
  <c r="L208" i="5"/>
  <c r="K208" i="5"/>
  <c r="J208" i="5"/>
  <c r="L207" i="5"/>
  <c r="K207" i="5"/>
  <c r="J207" i="5"/>
  <c r="L206" i="5"/>
  <c r="K206" i="5"/>
  <c r="J206" i="5"/>
  <c r="L205" i="5"/>
  <c r="K205" i="5"/>
  <c r="J205" i="5"/>
  <c r="L204" i="5"/>
  <c r="K204" i="5"/>
  <c r="J204" i="5"/>
  <c r="L203" i="5"/>
  <c r="K203" i="5"/>
  <c r="J203" i="5"/>
  <c r="L202" i="5"/>
  <c r="K202" i="5"/>
  <c r="J202" i="5"/>
  <c r="L201" i="5"/>
  <c r="K201" i="5"/>
  <c r="J201" i="5"/>
  <c r="L200" i="5"/>
  <c r="K200" i="5"/>
  <c r="J200" i="5"/>
  <c r="L199" i="5"/>
  <c r="K199" i="5"/>
  <c r="J199" i="5"/>
  <c r="L198" i="5"/>
  <c r="K198" i="5"/>
  <c r="J198" i="5"/>
  <c r="L197" i="5"/>
  <c r="K197" i="5"/>
  <c r="J197" i="5"/>
  <c r="L196" i="5"/>
  <c r="K196" i="5"/>
  <c r="J196" i="5"/>
  <c r="L195" i="5"/>
  <c r="K195" i="5"/>
  <c r="J195" i="5"/>
  <c r="L194" i="5"/>
  <c r="K194" i="5"/>
  <c r="J194" i="5"/>
  <c r="L193" i="5"/>
  <c r="K193" i="5"/>
  <c r="J193" i="5"/>
  <c r="L192" i="5"/>
  <c r="K192" i="5"/>
  <c r="J192" i="5"/>
  <c r="L191" i="5"/>
  <c r="K191" i="5"/>
  <c r="J191" i="5"/>
  <c r="L190" i="5"/>
  <c r="K190" i="5"/>
  <c r="J190" i="5"/>
  <c r="L189" i="5"/>
  <c r="K189" i="5"/>
  <c r="J189" i="5"/>
  <c r="L188" i="5"/>
  <c r="K188" i="5"/>
  <c r="J188" i="5"/>
  <c r="L187" i="5"/>
  <c r="K187" i="5"/>
  <c r="J187" i="5"/>
  <c r="L186" i="5"/>
  <c r="K186" i="5"/>
  <c r="J186" i="5"/>
  <c r="L185" i="5"/>
  <c r="K185" i="5"/>
  <c r="J185" i="5"/>
  <c r="L184" i="5"/>
  <c r="K184" i="5"/>
  <c r="J184" i="5"/>
  <c r="L183" i="5"/>
  <c r="K183" i="5"/>
  <c r="J183" i="5"/>
  <c r="L182" i="5"/>
  <c r="K182" i="5"/>
  <c r="J182" i="5"/>
  <c r="L181" i="5"/>
  <c r="K181" i="5"/>
  <c r="J181" i="5"/>
  <c r="L180" i="5"/>
  <c r="K180" i="5"/>
  <c r="J180" i="5"/>
  <c r="L179" i="5"/>
  <c r="K179" i="5"/>
  <c r="J179" i="5"/>
  <c r="L178" i="5"/>
  <c r="K178" i="5"/>
  <c r="J178" i="5"/>
  <c r="L177" i="5"/>
  <c r="K177" i="5"/>
  <c r="J177" i="5"/>
  <c r="L176" i="5"/>
  <c r="K176" i="5"/>
  <c r="J176" i="5"/>
  <c r="L175" i="5"/>
  <c r="K175" i="5"/>
  <c r="J175" i="5"/>
  <c r="L174" i="5"/>
  <c r="K174" i="5"/>
  <c r="J174" i="5"/>
  <c r="L173" i="5"/>
  <c r="K173" i="5"/>
  <c r="J173" i="5"/>
  <c r="L172" i="5"/>
  <c r="K172" i="5"/>
  <c r="J172" i="5"/>
  <c r="L171" i="5"/>
  <c r="K171" i="5"/>
  <c r="J171" i="5"/>
  <c r="L170" i="5"/>
  <c r="K170" i="5"/>
  <c r="J170" i="5"/>
  <c r="L169" i="5"/>
  <c r="K169" i="5"/>
  <c r="J169" i="5"/>
  <c r="L168" i="5"/>
  <c r="K168" i="5"/>
  <c r="J168" i="5"/>
  <c r="L167" i="5"/>
  <c r="K167" i="5"/>
  <c r="J167" i="5"/>
  <c r="L166" i="5"/>
  <c r="K166" i="5"/>
  <c r="J166" i="5"/>
  <c r="L165" i="5"/>
  <c r="K165" i="5"/>
  <c r="J165" i="5"/>
  <c r="L164" i="5"/>
  <c r="K164" i="5"/>
  <c r="J164" i="5"/>
  <c r="L163" i="5"/>
  <c r="K163" i="5"/>
  <c r="J163" i="5"/>
  <c r="L162" i="5"/>
  <c r="K162" i="5"/>
  <c r="J162" i="5"/>
  <c r="L161" i="5"/>
  <c r="K161" i="5"/>
  <c r="J161" i="5"/>
  <c r="L160" i="5"/>
  <c r="K160" i="5"/>
  <c r="J160" i="5"/>
  <c r="L159" i="5"/>
  <c r="K159" i="5"/>
  <c r="J159" i="5"/>
  <c r="L158" i="5"/>
  <c r="K158" i="5"/>
  <c r="J158" i="5"/>
  <c r="L157" i="5"/>
  <c r="K157" i="5"/>
  <c r="J157" i="5"/>
  <c r="L156" i="5"/>
  <c r="K156" i="5"/>
  <c r="J156" i="5"/>
  <c r="L155" i="5"/>
  <c r="K155" i="5"/>
  <c r="J155" i="5"/>
  <c r="L154" i="5"/>
  <c r="K154" i="5"/>
  <c r="J154" i="5"/>
  <c r="L153" i="5"/>
  <c r="K153" i="5"/>
  <c r="J153" i="5"/>
  <c r="L152" i="5"/>
  <c r="K152" i="5"/>
  <c r="J152" i="5"/>
  <c r="L151" i="5"/>
  <c r="K151" i="5"/>
  <c r="J151" i="5"/>
  <c r="L150" i="5"/>
  <c r="K150" i="5"/>
  <c r="J150" i="5"/>
  <c r="L149" i="5"/>
  <c r="K149" i="5"/>
  <c r="J149" i="5"/>
  <c r="L148" i="5"/>
  <c r="K148" i="5"/>
  <c r="J148" i="5"/>
  <c r="L147" i="5"/>
  <c r="K147" i="5"/>
  <c r="J147" i="5"/>
  <c r="L146" i="5"/>
  <c r="K146" i="5"/>
  <c r="J146" i="5"/>
  <c r="L145" i="5"/>
  <c r="K145" i="5"/>
  <c r="J145" i="5"/>
  <c r="L144" i="5"/>
  <c r="K144" i="5"/>
  <c r="J144" i="5"/>
  <c r="L143" i="5"/>
  <c r="K143" i="5"/>
  <c r="J143" i="5"/>
  <c r="L142" i="5"/>
  <c r="K142" i="5"/>
  <c r="J142" i="5"/>
  <c r="L141" i="5"/>
  <c r="K141" i="5"/>
  <c r="J141" i="5"/>
  <c r="L140" i="5"/>
  <c r="K140" i="5"/>
  <c r="J140" i="5"/>
  <c r="L139" i="5"/>
  <c r="K139" i="5"/>
  <c r="J139" i="5"/>
  <c r="L138" i="5"/>
  <c r="K138" i="5"/>
  <c r="J138" i="5"/>
  <c r="L137" i="5"/>
  <c r="K137" i="5"/>
  <c r="J137" i="5"/>
  <c r="L136" i="5"/>
  <c r="K136" i="5"/>
  <c r="J136" i="5"/>
  <c r="L135" i="5"/>
  <c r="K135" i="5"/>
  <c r="J135" i="5"/>
  <c r="L134" i="5"/>
  <c r="K134" i="5"/>
  <c r="J134" i="5"/>
  <c r="L133" i="5"/>
  <c r="K133" i="5"/>
  <c r="J133" i="5"/>
  <c r="L132" i="5"/>
  <c r="K132" i="5"/>
  <c r="J132" i="5"/>
  <c r="L131" i="5"/>
  <c r="K131" i="5"/>
  <c r="J131" i="5"/>
  <c r="L130" i="5"/>
  <c r="K130" i="5"/>
  <c r="J130" i="5"/>
  <c r="L129" i="5"/>
  <c r="K129" i="5"/>
  <c r="J129" i="5"/>
  <c r="L128" i="5"/>
  <c r="K128" i="5"/>
  <c r="J128" i="5"/>
  <c r="L127" i="5"/>
  <c r="K127" i="5"/>
  <c r="J127" i="5"/>
  <c r="L126" i="5"/>
  <c r="K126" i="5"/>
  <c r="J126" i="5"/>
  <c r="L125" i="5"/>
  <c r="K125" i="5"/>
  <c r="J125" i="5"/>
  <c r="L124" i="5"/>
  <c r="K124" i="5"/>
  <c r="J124" i="5"/>
  <c r="L123" i="5"/>
  <c r="K123" i="5"/>
  <c r="J123" i="5"/>
  <c r="L122" i="5"/>
  <c r="K122" i="5"/>
  <c r="J122" i="5"/>
  <c r="L121" i="5"/>
  <c r="K121" i="5"/>
  <c r="J121" i="5"/>
  <c r="L120" i="5"/>
  <c r="K120" i="5"/>
  <c r="J120" i="5"/>
  <c r="L119" i="5"/>
  <c r="K119" i="5"/>
  <c r="J119" i="5"/>
  <c r="L118" i="5"/>
  <c r="K118" i="5"/>
  <c r="J118" i="5"/>
  <c r="L117" i="5"/>
  <c r="K117" i="5"/>
  <c r="J117" i="5"/>
  <c r="L116" i="5"/>
  <c r="K116" i="5"/>
  <c r="J116" i="5"/>
  <c r="L115" i="5"/>
  <c r="K115" i="5"/>
  <c r="J115" i="5"/>
  <c r="L114" i="5"/>
  <c r="K114" i="5"/>
  <c r="J114" i="5"/>
  <c r="L113" i="5"/>
  <c r="K113" i="5"/>
  <c r="J113" i="5"/>
  <c r="L112" i="5"/>
  <c r="K112" i="5"/>
  <c r="J112" i="5"/>
  <c r="L111" i="5"/>
  <c r="K111" i="5"/>
  <c r="J111" i="5"/>
  <c r="L110" i="5"/>
  <c r="K110" i="5"/>
  <c r="J110" i="5"/>
  <c r="L109" i="5"/>
  <c r="K109" i="5"/>
  <c r="J109" i="5"/>
  <c r="L108" i="5"/>
  <c r="K108" i="5"/>
  <c r="J108" i="5"/>
  <c r="L107" i="5"/>
  <c r="K107" i="5"/>
  <c r="J107" i="5"/>
  <c r="L106" i="5"/>
  <c r="K106" i="5"/>
  <c r="J106" i="5"/>
  <c r="L105" i="5"/>
  <c r="K105" i="5"/>
  <c r="J105" i="5"/>
  <c r="L104" i="5"/>
  <c r="K104" i="5"/>
  <c r="J104" i="5"/>
  <c r="L103" i="5"/>
  <c r="K103" i="5"/>
  <c r="J103" i="5"/>
  <c r="L102" i="5"/>
  <c r="K102" i="5"/>
  <c r="J102" i="5"/>
  <c r="L101" i="5"/>
  <c r="K101" i="5"/>
  <c r="J101" i="5"/>
  <c r="L100" i="5"/>
  <c r="K100" i="5"/>
  <c r="J100" i="5"/>
  <c r="L99" i="5"/>
  <c r="K99" i="5"/>
  <c r="J99" i="5"/>
  <c r="L98" i="5"/>
  <c r="K98" i="5"/>
  <c r="J98" i="5"/>
  <c r="L97" i="5"/>
  <c r="K97" i="5"/>
  <c r="J97" i="5"/>
  <c r="L96" i="5"/>
  <c r="K96" i="5"/>
  <c r="J96" i="5"/>
  <c r="L95" i="5"/>
  <c r="K95" i="5"/>
  <c r="J95" i="5"/>
  <c r="L94" i="5"/>
  <c r="K94" i="5"/>
  <c r="J94" i="5"/>
  <c r="L93" i="5"/>
  <c r="K93" i="5"/>
  <c r="J93" i="5"/>
  <c r="L92" i="5"/>
  <c r="K92" i="5"/>
  <c r="J92" i="5"/>
  <c r="L91" i="5"/>
  <c r="K91" i="5"/>
  <c r="J91" i="5"/>
  <c r="L90" i="5"/>
  <c r="K90" i="5"/>
  <c r="J90" i="5"/>
  <c r="L89" i="5"/>
  <c r="K89" i="5"/>
  <c r="J89" i="5"/>
  <c r="L88" i="5"/>
  <c r="K88" i="5"/>
  <c r="J88" i="5"/>
  <c r="L87" i="5"/>
  <c r="K87" i="5"/>
  <c r="J87" i="5"/>
  <c r="L86" i="5"/>
  <c r="K86" i="5"/>
  <c r="J86" i="5"/>
  <c r="L85" i="5"/>
  <c r="K85" i="5"/>
  <c r="J85" i="5"/>
  <c r="L84" i="5"/>
  <c r="K84" i="5"/>
  <c r="J84" i="5"/>
  <c r="L83" i="5"/>
  <c r="K83" i="5"/>
  <c r="J83" i="5"/>
  <c r="L82" i="5"/>
  <c r="K82" i="5"/>
  <c r="J82" i="5"/>
  <c r="L81" i="5"/>
  <c r="K81" i="5"/>
  <c r="J81" i="5"/>
  <c r="L80" i="5"/>
  <c r="K80" i="5"/>
  <c r="J80" i="5"/>
  <c r="L79" i="5"/>
  <c r="K79" i="5"/>
  <c r="J79" i="5"/>
  <c r="L78" i="5"/>
  <c r="K78" i="5"/>
  <c r="J78" i="5"/>
  <c r="L77" i="5"/>
  <c r="K77" i="5"/>
  <c r="J77" i="5"/>
  <c r="L76" i="5"/>
  <c r="K76" i="5"/>
  <c r="J76" i="5"/>
  <c r="L75" i="5"/>
  <c r="K75" i="5"/>
  <c r="J75" i="5"/>
  <c r="L74" i="5"/>
  <c r="K74" i="5"/>
  <c r="J74" i="5"/>
  <c r="L73" i="5"/>
  <c r="K73" i="5"/>
  <c r="J73" i="5"/>
  <c r="L72" i="5"/>
  <c r="K72" i="5"/>
  <c r="J72" i="5"/>
  <c r="L71" i="5"/>
  <c r="K71" i="5"/>
  <c r="J71" i="5"/>
  <c r="L70" i="5"/>
  <c r="K70" i="5"/>
  <c r="J70" i="5"/>
  <c r="L69" i="5"/>
  <c r="K69" i="5"/>
  <c r="J69" i="5"/>
  <c r="L68" i="5"/>
  <c r="K68" i="5"/>
  <c r="J68" i="5"/>
  <c r="L67" i="5"/>
  <c r="K67" i="5"/>
  <c r="J67" i="5"/>
  <c r="L66" i="5"/>
  <c r="K66" i="5"/>
  <c r="J66" i="5"/>
  <c r="L65" i="5"/>
  <c r="K65" i="5"/>
  <c r="J65" i="5"/>
  <c r="L64" i="5"/>
  <c r="K64" i="5"/>
  <c r="J64" i="5"/>
  <c r="L63" i="5"/>
  <c r="K63" i="5"/>
  <c r="J63" i="5"/>
  <c r="L62" i="5"/>
  <c r="K62" i="5"/>
  <c r="J62" i="5"/>
  <c r="L61" i="5"/>
  <c r="K61" i="5"/>
  <c r="J61" i="5"/>
  <c r="L60" i="5"/>
  <c r="K60" i="5"/>
  <c r="J60" i="5"/>
  <c r="L59" i="5"/>
  <c r="K59" i="5"/>
  <c r="J59" i="5"/>
  <c r="L58" i="5"/>
  <c r="K58" i="5"/>
  <c r="J58" i="5"/>
  <c r="L57" i="5"/>
  <c r="K57" i="5"/>
  <c r="J57" i="5"/>
  <c r="L56" i="5"/>
  <c r="K56" i="5"/>
  <c r="J56" i="5"/>
  <c r="L55" i="5"/>
  <c r="K55" i="5"/>
  <c r="J55" i="5"/>
  <c r="L54" i="5"/>
  <c r="K54" i="5"/>
  <c r="J54" i="5"/>
  <c r="L53" i="5"/>
  <c r="K53" i="5"/>
  <c r="J53" i="5"/>
  <c r="L52" i="5"/>
  <c r="K52" i="5"/>
  <c r="J52" i="5"/>
  <c r="L51" i="5"/>
  <c r="K51" i="5"/>
  <c r="J51" i="5"/>
  <c r="L50" i="5"/>
  <c r="K50" i="5"/>
  <c r="J50" i="5"/>
  <c r="L49" i="5"/>
  <c r="K49" i="5"/>
  <c r="J49" i="5"/>
  <c r="L48" i="5"/>
  <c r="K48" i="5"/>
  <c r="J48" i="5"/>
  <c r="L47" i="5"/>
  <c r="K47" i="5"/>
  <c r="J47" i="5"/>
  <c r="L46" i="5"/>
  <c r="K46" i="5"/>
  <c r="J46" i="5"/>
  <c r="L45" i="5"/>
  <c r="K45" i="5"/>
  <c r="J45" i="5"/>
  <c r="L44" i="5"/>
  <c r="K44" i="5"/>
  <c r="J44" i="5"/>
  <c r="L43" i="5"/>
  <c r="K43" i="5"/>
  <c r="J43" i="5"/>
  <c r="L42" i="5"/>
  <c r="K42" i="5"/>
  <c r="J42" i="5"/>
  <c r="L41" i="5"/>
  <c r="K41" i="5"/>
  <c r="J41" i="5"/>
  <c r="L40" i="5"/>
  <c r="K40" i="5"/>
  <c r="J40" i="5"/>
  <c r="L39" i="5"/>
  <c r="K39" i="5"/>
  <c r="J39" i="5"/>
  <c r="L38" i="5"/>
  <c r="K38" i="5"/>
  <c r="J38" i="5"/>
  <c r="L37" i="5"/>
  <c r="K37" i="5"/>
  <c r="J37" i="5"/>
  <c r="L36" i="5"/>
  <c r="K36" i="5"/>
  <c r="J36" i="5"/>
  <c r="L35" i="5"/>
  <c r="K35" i="5"/>
  <c r="J35" i="5"/>
  <c r="L34" i="5"/>
  <c r="K34" i="5"/>
  <c r="J34" i="5"/>
  <c r="L33" i="5"/>
  <c r="K33" i="5"/>
  <c r="J33" i="5"/>
  <c r="L32" i="5"/>
  <c r="K32" i="5"/>
  <c r="J32" i="5"/>
  <c r="L31" i="5"/>
  <c r="K31" i="5"/>
  <c r="J31" i="5"/>
  <c r="L30" i="5"/>
  <c r="K30" i="5"/>
  <c r="J30" i="5"/>
  <c r="L29" i="5"/>
  <c r="K29" i="5"/>
  <c r="J29" i="5"/>
  <c r="L28" i="5"/>
  <c r="K28" i="5"/>
  <c r="J28" i="5"/>
  <c r="L27" i="5"/>
  <c r="K27" i="5"/>
  <c r="J27" i="5"/>
  <c r="L26" i="5"/>
  <c r="K26" i="5"/>
  <c r="J26" i="5"/>
  <c r="L25" i="5"/>
  <c r="K25" i="5"/>
  <c r="J25" i="5"/>
  <c r="L24" i="5"/>
  <c r="K24" i="5"/>
  <c r="J24" i="5"/>
  <c r="L23" i="5"/>
  <c r="K23" i="5"/>
  <c r="J23" i="5"/>
  <c r="L22" i="5"/>
  <c r="K22" i="5"/>
  <c r="J22" i="5"/>
  <c r="L21" i="5"/>
  <c r="K21" i="5"/>
  <c r="J21" i="5"/>
  <c r="L20" i="5"/>
  <c r="K20" i="5"/>
  <c r="J20" i="5"/>
  <c r="L19" i="5"/>
  <c r="K19" i="5"/>
  <c r="J19" i="5"/>
  <c r="L18" i="5"/>
  <c r="K18" i="5"/>
  <c r="J18" i="5"/>
  <c r="L17" i="5"/>
  <c r="K17" i="5"/>
  <c r="J17" i="5"/>
  <c r="L16" i="5"/>
  <c r="K16" i="5"/>
  <c r="J16" i="5"/>
  <c r="L15" i="5"/>
  <c r="K15" i="5"/>
  <c r="J15" i="5"/>
  <c r="L14" i="5"/>
  <c r="K14" i="5"/>
  <c r="J14" i="5"/>
  <c r="L13" i="5"/>
  <c r="K13" i="5"/>
  <c r="J13" i="5"/>
  <c r="L12" i="5"/>
  <c r="K12" i="5"/>
  <c r="J12" i="5"/>
  <c r="L11" i="5"/>
  <c r="K11" i="5"/>
  <c r="J11" i="5"/>
  <c r="L10" i="5"/>
  <c r="K10" i="5"/>
  <c r="J10" i="5"/>
  <c r="L9" i="5"/>
  <c r="K9" i="5"/>
  <c r="J9" i="5"/>
  <c r="L8" i="5"/>
  <c r="K8" i="5"/>
  <c r="J8" i="5"/>
  <c r="L7" i="5"/>
  <c r="K7" i="5"/>
  <c r="J7" i="5"/>
  <c r="L6" i="5"/>
  <c r="K6" i="5"/>
  <c r="J6" i="5"/>
  <c r="L5" i="5"/>
  <c r="K5" i="5"/>
  <c r="J5" i="5"/>
  <c r="L4" i="5"/>
  <c r="K4" i="5"/>
  <c r="J4" i="5"/>
  <c r="L3" i="5"/>
  <c r="K3" i="5"/>
  <c r="J3" i="5"/>
  <c r="L2" i="5"/>
  <c r="K2" i="5"/>
  <c r="J2" i="5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4" i="3"/>
  <c r="F4" i="3"/>
  <c r="G3" i="3"/>
  <c r="F3" i="3"/>
  <c r="G2" i="3"/>
  <c r="F2" i="3"/>
  <c r="O41" i="2"/>
  <c r="N41" i="2"/>
  <c r="M41" i="2"/>
  <c r="L41" i="2"/>
  <c r="O40" i="2"/>
  <c r="N40" i="2"/>
  <c r="M40" i="2"/>
  <c r="L40" i="2"/>
  <c r="O39" i="2"/>
  <c r="N39" i="2"/>
  <c r="M39" i="2"/>
  <c r="L39" i="2"/>
  <c r="O38" i="2"/>
  <c r="N38" i="2"/>
  <c r="M38" i="2"/>
  <c r="L38" i="2"/>
  <c r="O37" i="2"/>
  <c r="N37" i="2"/>
  <c r="M37" i="2"/>
  <c r="L37" i="2"/>
  <c r="O36" i="2"/>
  <c r="N36" i="2"/>
  <c r="M36" i="2"/>
  <c r="L36" i="2"/>
  <c r="O35" i="2"/>
  <c r="N35" i="2"/>
  <c r="M35" i="2"/>
  <c r="L35" i="2"/>
  <c r="O34" i="2"/>
  <c r="N34" i="2"/>
  <c r="M34" i="2"/>
  <c r="L34" i="2"/>
  <c r="O33" i="2"/>
  <c r="N33" i="2"/>
  <c r="M33" i="2"/>
  <c r="L33" i="2"/>
  <c r="O32" i="2"/>
  <c r="N32" i="2"/>
  <c r="M32" i="2"/>
  <c r="L32" i="2"/>
  <c r="O31" i="2"/>
  <c r="N31" i="2"/>
  <c r="M31" i="2"/>
  <c r="L31" i="2"/>
  <c r="O30" i="2"/>
  <c r="N30" i="2"/>
  <c r="M30" i="2"/>
  <c r="L30" i="2"/>
  <c r="O29" i="2"/>
  <c r="N29" i="2"/>
  <c r="M29" i="2"/>
  <c r="L29" i="2"/>
  <c r="O28" i="2"/>
  <c r="N28" i="2"/>
  <c r="M28" i="2"/>
  <c r="L28" i="2"/>
  <c r="O27" i="2"/>
  <c r="N27" i="2"/>
  <c r="M27" i="2"/>
  <c r="L27" i="2"/>
  <c r="O26" i="2"/>
  <c r="N26" i="2"/>
  <c r="M26" i="2"/>
  <c r="L26" i="2"/>
  <c r="O25" i="2"/>
  <c r="N25" i="2"/>
  <c r="M25" i="2"/>
  <c r="L25" i="2"/>
  <c r="O24" i="2"/>
  <c r="N24" i="2"/>
  <c r="M24" i="2"/>
  <c r="L24" i="2"/>
  <c r="O23" i="2"/>
  <c r="N23" i="2"/>
  <c r="M23" i="2"/>
  <c r="L23" i="2"/>
  <c r="O22" i="2"/>
  <c r="N22" i="2"/>
  <c r="M22" i="2"/>
  <c r="L22" i="2"/>
  <c r="O21" i="2"/>
  <c r="N21" i="2"/>
  <c r="M21" i="2"/>
  <c r="L21" i="2"/>
  <c r="O20" i="2"/>
  <c r="N20" i="2"/>
  <c r="M20" i="2"/>
  <c r="L20" i="2"/>
  <c r="O19" i="2"/>
  <c r="N19" i="2"/>
  <c r="M19" i="2"/>
  <c r="L19" i="2"/>
  <c r="O18" i="2"/>
  <c r="N18" i="2"/>
  <c r="M18" i="2"/>
  <c r="L18" i="2"/>
  <c r="O17" i="2"/>
  <c r="N17" i="2"/>
  <c r="M17" i="2"/>
  <c r="L17" i="2"/>
  <c r="O16" i="2"/>
  <c r="N16" i="2"/>
  <c r="M16" i="2"/>
  <c r="L16" i="2"/>
  <c r="O15" i="2"/>
  <c r="N15" i="2"/>
  <c r="M15" i="2"/>
  <c r="L15" i="2"/>
  <c r="O14" i="2"/>
  <c r="N14" i="2"/>
  <c r="M14" i="2"/>
  <c r="L14" i="2"/>
  <c r="O13" i="2"/>
  <c r="N13" i="2"/>
  <c r="M13" i="2"/>
  <c r="L13" i="2"/>
  <c r="O12" i="2"/>
  <c r="N12" i="2"/>
  <c r="M12" i="2"/>
  <c r="L12" i="2"/>
  <c r="O11" i="2"/>
  <c r="N11" i="2"/>
  <c r="M11" i="2"/>
  <c r="L11" i="2"/>
  <c r="O10" i="2"/>
  <c r="N10" i="2"/>
  <c r="M10" i="2"/>
  <c r="L10" i="2"/>
  <c r="O9" i="2"/>
  <c r="N9" i="2"/>
  <c r="M9" i="2"/>
  <c r="L9" i="2"/>
  <c r="O8" i="2"/>
  <c r="N8" i="2"/>
  <c r="M8" i="2"/>
  <c r="L8" i="2"/>
  <c r="O7" i="2"/>
  <c r="N7" i="2"/>
  <c r="M7" i="2"/>
  <c r="L7" i="2"/>
  <c r="O6" i="2"/>
  <c r="N6" i="2"/>
  <c r="M6" i="2"/>
  <c r="L6" i="2"/>
  <c r="O5" i="2"/>
  <c r="N5" i="2"/>
  <c r="M5" i="2"/>
  <c r="L5" i="2"/>
  <c r="O4" i="2"/>
  <c r="N4" i="2"/>
  <c r="M4" i="2"/>
  <c r="L4" i="2"/>
  <c r="O3" i="2"/>
  <c r="N3" i="2"/>
  <c r="M3" i="2"/>
  <c r="L3" i="2"/>
  <c r="O2" i="2"/>
  <c r="N2" i="2"/>
  <c r="M2" i="2"/>
  <c r="L2" i="2"/>
  <c r="E61" i="1"/>
  <c r="C61" i="1"/>
  <c r="C60" i="1"/>
  <c r="E60" i="1" s="1"/>
  <c r="E59" i="1"/>
  <c r="C59" i="1"/>
  <c r="C58" i="1"/>
  <c r="E58" i="1" s="1"/>
  <c r="E57" i="1"/>
  <c r="C57" i="1"/>
  <c r="C56" i="1"/>
  <c r="E56" i="1" s="1"/>
  <c r="E55" i="1"/>
  <c r="C55" i="1"/>
  <c r="M401" i="6"/>
  <c r="L401" i="6"/>
  <c r="M400" i="6"/>
  <c r="L400" i="6"/>
  <c r="M399" i="6"/>
  <c r="L399" i="6"/>
  <c r="M398" i="6"/>
  <c r="L398" i="6"/>
  <c r="M397" i="6"/>
  <c r="L397" i="6"/>
  <c r="M396" i="6"/>
  <c r="L396" i="6"/>
  <c r="M395" i="6"/>
  <c r="L395" i="6"/>
  <c r="M394" i="6"/>
  <c r="L394" i="6"/>
  <c r="M393" i="6"/>
  <c r="L393" i="6"/>
  <c r="M392" i="6"/>
  <c r="L392" i="6"/>
  <c r="M391" i="6"/>
  <c r="L391" i="6"/>
  <c r="M390" i="6"/>
  <c r="L390" i="6"/>
  <c r="M389" i="6"/>
  <c r="L389" i="6"/>
  <c r="M388" i="6"/>
  <c r="L388" i="6"/>
  <c r="M387" i="6"/>
  <c r="L387" i="6"/>
  <c r="M386" i="6"/>
  <c r="L386" i="6"/>
  <c r="M385" i="6"/>
  <c r="L385" i="6"/>
  <c r="M384" i="6"/>
  <c r="L384" i="6"/>
  <c r="M383" i="6"/>
  <c r="L383" i="6"/>
  <c r="M382" i="6"/>
  <c r="L382" i="6"/>
  <c r="M381" i="6"/>
  <c r="L381" i="6"/>
  <c r="M380" i="6"/>
  <c r="L380" i="6"/>
  <c r="M379" i="6"/>
  <c r="L379" i="6"/>
  <c r="M378" i="6"/>
  <c r="L378" i="6"/>
  <c r="M377" i="6"/>
  <c r="L377" i="6"/>
  <c r="M376" i="6"/>
  <c r="L376" i="6"/>
  <c r="M375" i="6"/>
  <c r="L375" i="6"/>
  <c r="M374" i="6"/>
  <c r="L374" i="6"/>
  <c r="M373" i="6"/>
  <c r="L373" i="6"/>
  <c r="M372" i="6"/>
  <c r="L372" i="6"/>
  <c r="M371" i="6"/>
  <c r="L371" i="6"/>
  <c r="M370" i="6"/>
  <c r="L370" i="6"/>
  <c r="M369" i="6"/>
  <c r="L369" i="6"/>
  <c r="M368" i="6"/>
  <c r="L368" i="6"/>
  <c r="M367" i="6"/>
  <c r="L367" i="6"/>
  <c r="M366" i="6"/>
  <c r="L366" i="6"/>
  <c r="M365" i="6"/>
  <c r="L365" i="6"/>
  <c r="M364" i="6"/>
  <c r="L364" i="6"/>
  <c r="M363" i="6"/>
  <c r="L363" i="6"/>
  <c r="M362" i="6"/>
  <c r="L362" i="6"/>
  <c r="M361" i="6"/>
  <c r="L361" i="6"/>
  <c r="M360" i="6"/>
  <c r="L360" i="6"/>
  <c r="M359" i="6"/>
  <c r="L359" i="6"/>
  <c r="M358" i="6"/>
  <c r="L358" i="6"/>
  <c r="M357" i="6"/>
  <c r="L357" i="6"/>
  <c r="M356" i="6"/>
  <c r="L356" i="6"/>
  <c r="M355" i="6"/>
  <c r="L355" i="6"/>
  <c r="M354" i="6"/>
  <c r="L354" i="6"/>
  <c r="M353" i="6"/>
  <c r="L353" i="6"/>
  <c r="M352" i="6"/>
  <c r="L352" i="6"/>
  <c r="M351" i="6"/>
  <c r="L351" i="6"/>
  <c r="M350" i="6"/>
  <c r="L350" i="6"/>
  <c r="M349" i="6"/>
  <c r="L349" i="6"/>
  <c r="M348" i="6"/>
  <c r="L348" i="6"/>
  <c r="M347" i="6"/>
  <c r="L347" i="6"/>
  <c r="M346" i="6"/>
  <c r="L346" i="6"/>
  <c r="M345" i="6"/>
  <c r="L345" i="6"/>
  <c r="M344" i="6"/>
  <c r="L344" i="6"/>
  <c r="M343" i="6"/>
  <c r="L343" i="6"/>
  <c r="M342" i="6"/>
  <c r="L342" i="6"/>
  <c r="M341" i="6"/>
  <c r="L341" i="6"/>
  <c r="M340" i="6"/>
  <c r="L340" i="6"/>
  <c r="M339" i="6"/>
  <c r="L339" i="6"/>
  <c r="M338" i="6"/>
  <c r="L338" i="6"/>
  <c r="M337" i="6"/>
  <c r="L337" i="6"/>
  <c r="M336" i="6"/>
  <c r="L336" i="6"/>
  <c r="M335" i="6"/>
  <c r="L335" i="6"/>
  <c r="M334" i="6"/>
  <c r="L334" i="6"/>
  <c r="M333" i="6"/>
  <c r="L333" i="6"/>
  <c r="M332" i="6"/>
  <c r="L332" i="6"/>
  <c r="M331" i="6"/>
  <c r="L331" i="6"/>
  <c r="M330" i="6"/>
  <c r="L330" i="6"/>
  <c r="M329" i="6"/>
  <c r="L329" i="6"/>
  <c r="M328" i="6"/>
  <c r="L328" i="6"/>
  <c r="M327" i="6"/>
  <c r="L327" i="6"/>
  <c r="M326" i="6"/>
  <c r="L326" i="6"/>
  <c r="M325" i="6"/>
  <c r="L325" i="6"/>
  <c r="M324" i="6"/>
  <c r="L324" i="6"/>
  <c r="M323" i="6"/>
  <c r="L323" i="6"/>
  <c r="M322" i="6"/>
  <c r="L322" i="6"/>
  <c r="M321" i="6"/>
  <c r="L321" i="6"/>
  <c r="M320" i="6"/>
  <c r="L320" i="6"/>
  <c r="M319" i="6"/>
  <c r="L319" i="6"/>
  <c r="M318" i="6"/>
  <c r="L318" i="6"/>
  <c r="M317" i="6"/>
  <c r="L317" i="6"/>
  <c r="M316" i="6"/>
  <c r="L316" i="6"/>
  <c r="M315" i="6"/>
  <c r="L315" i="6"/>
  <c r="M314" i="6"/>
  <c r="L314" i="6"/>
  <c r="M313" i="6"/>
  <c r="L313" i="6"/>
  <c r="M312" i="6"/>
  <c r="L312" i="6"/>
  <c r="M311" i="6"/>
  <c r="L311" i="6"/>
  <c r="M310" i="6"/>
  <c r="L310" i="6"/>
  <c r="M309" i="6"/>
  <c r="L309" i="6"/>
  <c r="M308" i="6"/>
  <c r="L308" i="6"/>
  <c r="M307" i="6"/>
  <c r="L307" i="6"/>
  <c r="M306" i="6"/>
  <c r="L306" i="6"/>
  <c r="M305" i="6"/>
  <c r="L305" i="6"/>
  <c r="M304" i="6"/>
  <c r="L304" i="6"/>
  <c r="M303" i="6"/>
  <c r="L303" i="6"/>
  <c r="M302" i="6"/>
  <c r="L302" i="6"/>
  <c r="M301" i="6"/>
  <c r="L301" i="6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4" i="6"/>
  <c r="L4" i="6"/>
  <c r="M3" i="6"/>
  <c r="L3" i="6"/>
  <c r="M2" i="6"/>
  <c r="L2" i="6"/>
</calcChain>
</file>

<file path=xl/sharedStrings.xml><?xml version="1.0" encoding="utf-8"?>
<sst xmlns="http://schemas.openxmlformats.org/spreadsheetml/2006/main" count="10900" uniqueCount="4918">
  <si>
    <t>골든 데이터셋 작업 시트 v1.0 — plan-B (내 문장 고쳐주기 튜터)</t>
  </si>
  <si>
    <r>
      <rPr>
        <sz val="9"/>
        <color rgb="FF666666"/>
        <rFont val="Arial"/>
        <family val="2"/>
        <charset val="1"/>
      </rPr>
      <t xml:space="preserve">2026-09-07 · </t>
    </r>
    <r>
      <rPr>
        <sz val="9"/>
        <color rgb="FF666666"/>
        <rFont val="Noto Sans CJK SC"/>
        <family val="2"/>
      </rPr>
      <t>근거</t>
    </r>
    <r>
      <rPr>
        <sz val="9"/>
        <color rgb="FF666666"/>
        <rFont val="Arial"/>
        <family val="2"/>
        <charset val="1"/>
      </rPr>
      <t xml:space="preserve">: </t>
    </r>
    <r>
      <rPr>
        <sz val="9"/>
        <color rgb="FF666666"/>
        <rFont val="Noto Sans CJK SC"/>
        <family val="2"/>
      </rPr>
      <t xml:space="preserve">골든 데이터 샘플 </t>
    </r>
    <r>
      <rPr>
        <sz val="9"/>
        <color rgb="FF666666"/>
        <rFont val="Arial"/>
        <family val="2"/>
        <charset val="1"/>
      </rPr>
      <t xml:space="preserve">B README.md · </t>
    </r>
    <r>
      <rPr>
        <sz val="9"/>
        <color rgb="FF666666"/>
        <rFont val="Noto Sans CJK SC"/>
        <family val="2"/>
      </rPr>
      <t xml:space="preserve">업로드된 샘플 </t>
    </r>
    <r>
      <rPr>
        <sz val="9"/>
        <color rgb="FF666666"/>
        <rFont val="Arial"/>
        <family val="2"/>
        <charset val="1"/>
      </rPr>
      <t>7</t>
    </r>
    <r>
      <rPr>
        <sz val="9"/>
        <color rgb="FF666666"/>
        <rFont val="Noto Sans CJK SC"/>
        <family val="2"/>
      </rPr>
      <t>파일</t>
    </r>
  </si>
  <si>
    <t>■ 이 시트가 v0.2와 다른 이유</t>
  </si>
  <si>
    <r>
      <rPr>
        <sz val="10"/>
        <rFont val="Arial"/>
        <family val="2"/>
        <charset val="1"/>
      </rPr>
      <t>v0.2</t>
    </r>
    <r>
      <rPr>
        <sz val="10"/>
        <rFont val="Noto Sans CJK SC"/>
        <family val="2"/>
      </rPr>
      <t xml:space="preserve">는 </t>
    </r>
    <r>
      <rPr>
        <sz val="10"/>
        <rFont val="Arial"/>
        <family val="2"/>
        <charset val="1"/>
      </rPr>
      <t>plan-A(</t>
    </r>
    <r>
      <rPr>
        <sz val="10"/>
        <rFont val="Noto Sans CJK SC"/>
        <family val="2"/>
      </rPr>
      <t xml:space="preserve">단어 학습 </t>
    </r>
    <r>
      <rPr>
        <sz val="10"/>
        <rFont val="Arial"/>
        <family val="2"/>
        <charset val="1"/>
      </rPr>
      <t xml:space="preserve">RAG, PRD 6.1) </t>
    </r>
    <r>
      <rPr>
        <sz val="10"/>
        <rFont val="Noto Sans CJK SC"/>
        <family val="2"/>
      </rPr>
      <t>기준이었다</t>
    </r>
    <r>
      <rPr>
        <sz val="10"/>
        <rFont val="Arial"/>
        <family val="2"/>
        <charset val="1"/>
      </rPr>
      <t>. plan-B</t>
    </r>
    <r>
      <rPr>
        <sz val="10"/>
        <rFont val="Noto Sans CJK SC"/>
        <family val="2"/>
      </rPr>
      <t>는 검색 대상 자체가 다르다</t>
    </r>
    <r>
      <rPr>
        <sz val="10"/>
        <rFont val="Arial"/>
        <family val="2"/>
        <charset val="1"/>
      </rPr>
      <t>.</t>
    </r>
  </si>
  <si>
    <r>
      <rPr>
        <sz val="10"/>
        <rFont val="Arial"/>
        <family val="2"/>
        <charset val="1"/>
      </rPr>
      <t xml:space="preserve">plan-A: </t>
    </r>
    <r>
      <rPr>
        <sz val="10"/>
        <rFont val="Noto Sans CJK SC"/>
        <family val="2"/>
      </rPr>
      <t>단어</t>
    </r>
    <r>
      <rPr>
        <sz val="10"/>
        <rFont val="Arial"/>
        <family val="2"/>
        <charset val="1"/>
      </rPr>
      <t>·</t>
    </r>
    <r>
      <rPr>
        <sz val="10"/>
        <rFont val="Noto Sans CJK SC"/>
        <family val="2"/>
      </rPr>
      <t xml:space="preserve">문장 조각을 검색 → 문제 생성 </t>
    </r>
    <r>
      <rPr>
        <sz val="10"/>
        <rFont val="Arial"/>
        <family val="2"/>
        <charset val="1"/>
      </rPr>
      <t xml:space="preserve">/ plan-B: </t>
    </r>
    <r>
      <rPr>
        <sz val="10"/>
        <rFont val="Noto Sans CJK SC"/>
        <family val="2"/>
      </rPr>
      <t>규칙 설명 조각을 검색 → 문장 첨삭</t>
    </r>
  </si>
  <si>
    <t>컬럼도 파일 구성도 겹치지 않으므로 v0.2를 고치지 않고 새로 만들었다. 두 시트는 별개다.</t>
  </si>
  <si>
    <t>■ 시트 = 납품 파일 (README 우선순위 순)</t>
  </si>
  <si>
    <r>
      <rPr>
        <sz val="10"/>
        <rFont val="Arial"/>
        <family val="2"/>
        <charset val="1"/>
      </rPr>
      <t xml:space="preserve">  01_rules      → rules.jsonl   ★ RAG </t>
    </r>
    <r>
      <rPr>
        <sz val="10"/>
        <rFont val="Noto Sans CJK SC"/>
        <family val="2"/>
      </rPr>
      <t>검색 대상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여기가 제일 중요하다</t>
    </r>
  </si>
  <si>
    <r>
      <rPr>
        <sz val="10"/>
        <rFont val="Arial"/>
        <family val="2"/>
        <charset val="1"/>
      </rPr>
      <t xml:space="preserve">  02_eval       → eval.csv      ★ </t>
    </r>
    <r>
      <rPr>
        <sz val="10"/>
        <rFont val="Noto Sans CJK SC"/>
        <family val="2"/>
      </rPr>
      <t>평가셋</t>
    </r>
  </si>
  <si>
    <t xml:space="preserve">  03_units      → units.csv</t>
  </si>
  <si>
    <t xml:space="preserve">  04_patterns   → patterns.csv</t>
  </si>
  <si>
    <t xml:space="preserve">  05_words      → words.csv</t>
  </si>
  <si>
    <t xml:space="preserve">  06_errors     → errors.jsonl</t>
  </si>
  <si>
    <r>
      <rPr>
        <sz val="10"/>
        <rFont val="Arial"/>
        <family val="2"/>
        <charset val="1"/>
      </rPr>
      <t xml:space="preserve">  07_faq        → faq.jsonl     RAG </t>
    </r>
    <r>
      <rPr>
        <sz val="10"/>
        <rFont val="Noto Sans CJK SC"/>
        <family val="2"/>
      </rPr>
      <t xml:space="preserve">검색 대상 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>물어보기 챗</t>
    </r>
    <r>
      <rPr>
        <sz val="10"/>
        <rFont val="Arial"/>
        <family val="2"/>
        <charset val="1"/>
      </rPr>
      <t>)</t>
    </r>
  </si>
  <si>
    <r>
      <rPr>
        <sz val="10"/>
        <rFont val="Arial"/>
        <family val="2"/>
        <charset val="1"/>
      </rPr>
      <t xml:space="preserve">  08_</t>
    </r>
    <r>
      <rPr>
        <sz val="10"/>
        <rFont val="Noto Sans CJK SC"/>
        <family val="2"/>
      </rPr>
      <t>검수로그    납품하지 않음</t>
    </r>
  </si>
  <si>
    <t>■ 색 규칙</t>
  </si>
  <si>
    <t>파란 헤더 = 납품 컬럼. 이 범위만 CSV/JSONL 로 내보낸다. 컬럼명·순서는 계약이다.</t>
  </si>
  <si>
    <t>갈색 헤더 = 데이터팀 작업용. 납품 제외.</t>
  </si>
  <si>
    <t>주황 헤더 = 자동 검사 수식. 직접 입력 금지. 값이 뜨면 그 행에 문제가 있다는 뜻이다.</t>
  </si>
  <si>
    <t>빨간 칸 = 검사에 걸린 곳.</t>
  </si>
  <si>
    <t>■ 배열 값을 시트에 적는 법</t>
  </si>
  <si>
    <r>
      <rPr>
        <sz val="10"/>
        <rFont val="Arial"/>
        <family val="2"/>
        <charset val="1"/>
      </rPr>
      <t xml:space="preserve">jsonl </t>
    </r>
    <r>
      <rPr>
        <sz val="10"/>
        <rFont val="Noto Sans CJK SC"/>
        <family val="2"/>
      </rPr>
      <t>의 배열 필드</t>
    </r>
    <r>
      <rPr>
        <sz val="10"/>
        <rFont val="Arial"/>
        <family val="2"/>
        <charset val="1"/>
      </rPr>
      <t>(examples · variants · distractors · rule_ids)</t>
    </r>
    <r>
      <rPr>
        <sz val="10"/>
        <rFont val="Noto Sans CJK SC"/>
        <family val="2"/>
      </rPr>
      <t>는 세미콜론</t>
    </r>
    <r>
      <rPr>
        <sz val="10"/>
        <rFont val="Arial"/>
        <family val="2"/>
        <charset val="1"/>
      </rPr>
      <t>(;)</t>
    </r>
    <r>
      <rPr>
        <sz val="10"/>
        <rFont val="Noto Sans CJK SC"/>
        <family val="2"/>
      </rPr>
      <t>으로 구분해 한 칸에 적는다</t>
    </r>
    <r>
      <rPr>
        <sz val="10"/>
        <rFont val="Arial"/>
        <family val="2"/>
        <charset val="1"/>
      </rPr>
      <t>.</t>
    </r>
  </si>
  <si>
    <t xml:space="preserve">  예) examples 칸에  I went to the zoo yesterday.;I saw a lion.</t>
  </si>
  <si>
    <r>
      <rPr>
        <sz val="10"/>
        <rFont val="Arial"/>
        <family val="2"/>
        <charset val="1"/>
      </rPr>
      <t xml:space="preserve">JSONL </t>
    </r>
    <r>
      <rPr>
        <sz val="10"/>
        <rFont val="Noto Sans CJK SC"/>
        <family val="2"/>
      </rPr>
      <t xml:space="preserve">변환 스크립트가 </t>
    </r>
    <r>
      <rPr>
        <sz val="10"/>
        <rFont val="Arial"/>
        <family val="2"/>
        <charset val="1"/>
      </rPr>
      <t xml:space="preserve">; </t>
    </r>
    <r>
      <rPr>
        <sz val="10"/>
        <rFont val="Noto Sans CJK SC"/>
        <family val="2"/>
      </rPr>
      <t>를 기준으로 잘라 배열로 만든다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 xml:space="preserve">값 안에 </t>
    </r>
    <r>
      <rPr>
        <sz val="10"/>
        <rFont val="Arial"/>
        <family val="2"/>
        <charset val="1"/>
      </rPr>
      <t xml:space="preserve">; </t>
    </r>
    <r>
      <rPr>
        <sz val="10"/>
        <rFont val="Noto Sans CJK SC"/>
        <family val="2"/>
      </rPr>
      <t>를 쓰지 않는다</t>
    </r>
    <r>
      <rPr>
        <sz val="10"/>
        <rFont val="Arial"/>
        <family val="2"/>
        <charset val="1"/>
      </rPr>
      <t>.</t>
    </r>
  </si>
  <si>
    <r>
      <rPr>
        <sz val="10"/>
        <rFont val="Arial"/>
        <family val="2"/>
        <charset val="1"/>
      </rPr>
      <t xml:space="preserve">units.csv </t>
    </r>
    <r>
      <rPr>
        <sz val="10"/>
        <rFont val="Noto Sans CJK SC"/>
        <family val="2"/>
      </rPr>
      <t xml:space="preserve">의 </t>
    </r>
    <r>
      <rPr>
        <sz val="10"/>
        <rFont val="Arial"/>
        <family val="2"/>
        <charset val="1"/>
      </rPr>
      <t xml:space="preserve">hint_words · rule_ids </t>
    </r>
    <r>
      <rPr>
        <sz val="10"/>
        <rFont val="Noto Sans CJK SC"/>
        <family val="2"/>
      </rPr>
      <t xml:space="preserve">는 </t>
    </r>
    <r>
      <rPr>
        <sz val="10"/>
        <rFont val="Arial"/>
        <family val="2"/>
        <charset val="1"/>
      </rPr>
      <t xml:space="preserve">CSV </t>
    </r>
    <r>
      <rPr>
        <sz val="10"/>
        <rFont val="Noto Sans CJK SC"/>
        <family val="2"/>
      </rPr>
      <t xml:space="preserve">그대로 </t>
    </r>
    <r>
      <rPr>
        <sz val="10"/>
        <rFont val="Arial"/>
        <family val="2"/>
        <charset val="1"/>
      </rPr>
      <t xml:space="preserve">; </t>
    </r>
    <r>
      <rPr>
        <sz val="10"/>
        <rFont val="Noto Sans CJK SC"/>
        <family val="2"/>
      </rPr>
      <t>구분이므로 시트 값과 동일하다</t>
    </r>
    <r>
      <rPr>
        <sz val="10"/>
        <rFont val="Arial"/>
        <family val="2"/>
        <charset val="1"/>
      </rPr>
      <t>.</t>
    </r>
  </si>
  <si>
    <t>■ 자동으로 검사하는 것 (README '규칙' 절)</t>
  </si>
  <si>
    <r>
      <rPr>
        <sz val="10"/>
        <rFont val="Arial"/>
        <family val="2"/>
        <charset val="1"/>
      </rPr>
      <t xml:space="preserve">① id </t>
    </r>
    <r>
      <rPr>
        <sz val="10"/>
        <rFont val="Noto Sans CJK SC"/>
        <family val="2"/>
      </rPr>
      <t xml:space="preserve">중복        </t>
    </r>
    <r>
      <rPr>
        <sz val="10"/>
        <rFont val="Arial"/>
        <family val="2"/>
        <charset val="1"/>
      </rPr>
      <t xml:space="preserve">01·04·05·06·07 </t>
    </r>
    <r>
      <rPr>
        <sz val="10"/>
        <rFont val="Noto Sans CJK SC"/>
        <family val="2"/>
      </rPr>
      <t xml:space="preserve">의 </t>
    </r>
    <r>
      <rPr>
        <sz val="10"/>
        <rFont val="Arial"/>
        <family val="2"/>
        <charset val="1"/>
      </rPr>
      <t xml:space="preserve">id </t>
    </r>
    <r>
      <rPr>
        <sz val="10"/>
        <rFont val="Noto Sans CJK SC"/>
        <family val="2"/>
      </rPr>
      <t>열</t>
    </r>
  </si>
  <si>
    <r>
      <rPr>
        <sz val="10"/>
        <rFont val="Arial"/>
        <family val="2"/>
        <charset val="1"/>
      </rPr>
      <t xml:space="preserve">② rule_id </t>
    </r>
    <r>
      <rPr>
        <sz val="10"/>
        <rFont val="Noto Sans CJK SC"/>
        <family val="2"/>
      </rPr>
      <t xml:space="preserve">참조   </t>
    </r>
    <r>
      <rPr>
        <sz val="10"/>
        <rFont val="Arial"/>
        <family val="2"/>
        <charset val="1"/>
      </rPr>
      <t xml:space="preserve">04·06·07·02 </t>
    </r>
    <r>
      <rPr>
        <sz val="10"/>
        <rFont val="Noto Sans CJK SC"/>
        <family val="2"/>
      </rPr>
      <t xml:space="preserve">의 </t>
    </r>
    <r>
      <rPr>
        <sz val="10"/>
        <rFont val="Arial"/>
        <family val="2"/>
        <charset val="1"/>
      </rPr>
      <t xml:space="preserve">rule_id </t>
    </r>
    <r>
      <rPr>
        <sz val="10"/>
        <rFont val="Noto Sans CJK SC"/>
        <family val="2"/>
      </rPr>
      <t xml:space="preserve">가 </t>
    </r>
    <r>
      <rPr>
        <sz val="10"/>
        <rFont val="Arial"/>
        <family val="2"/>
        <charset val="1"/>
      </rPr>
      <t xml:space="preserve">01_rules </t>
    </r>
    <r>
      <rPr>
        <sz val="10"/>
        <rFont val="Noto Sans CJK SC"/>
        <family val="2"/>
      </rPr>
      <t xml:space="preserve">에 있는 </t>
    </r>
    <r>
      <rPr>
        <sz val="10"/>
        <rFont val="Arial"/>
        <family val="2"/>
        <charset val="1"/>
      </rPr>
      <t xml:space="preserve">id </t>
    </r>
    <r>
      <rPr>
        <sz val="10"/>
        <rFont val="Noto Sans CJK SC"/>
        <family val="2"/>
      </rPr>
      <t>인지</t>
    </r>
  </si>
  <si>
    <r>
      <rPr>
        <sz val="10"/>
        <rFont val="Arial"/>
        <family val="2"/>
        <charset val="1"/>
      </rPr>
      <t xml:space="preserve">③ eval </t>
    </r>
    <r>
      <rPr>
        <sz val="10"/>
        <rFont val="Noto Sans CJK SC"/>
        <family val="2"/>
      </rPr>
      <t xml:space="preserve">중복 ★★  </t>
    </r>
    <r>
      <rPr>
        <sz val="10"/>
        <rFont val="Arial"/>
        <family val="2"/>
        <charset val="1"/>
      </rPr>
      <t xml:space="preserve">02_eval </t>
    </r>
    <r>
      <rPr>
        <sz val="10"/>
        <rFont val="Noto Sans CJK SC"/>
        <family val="2"/>
      </rPr>
      <t xml:space="preserve">의 </t>
    </r>
    <r>
      <rPr>
        <sz val="10"/>
        <rFont val="Arial"/>
        <family val="2"/>
        <charset val="1"/>
      </rPr>
      <t xml:space="preserve">text </t>
    </r>
    <r>
      <rPr>
        <sz val="10"/>
        <rFont val="Noto Sans CJK SC"/>
        <family val="2"/>
      </rPr>
      <t xml:space="preserve">가 </t>
    </r>
    <r>
      <rPr>
        <sz val="10"/>
        <rFont val="Arial"/>
        <family val="2"/>
        <charset val="1"/>
      </rPr>
      <t xml:space="preserve">01_rules </t>
    </r>
    <r>
      <rPr>
        <sz val="10"/>
        <rFont val="Noto Sans CJK SC"/>
        <family val="2"/>
      </rPr>
      <t xml:space="preserve">의 </t>
    </r>
    <r>
      <rPr>
        <sz val="10"/>
        <rFont val="Arial"/>
        <family val="2"/>
        <charset val="1"/>
      </rPr>
      <t xml:space="preserve">wrong_example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2"/>
        <charset val="1"/>
      </rPr>
      <t xml:space="preserve">06_errors </t>
    </r>
    <r>
      <rPr>
        <sz val="10"/>
        <rFont val="Noto Sans CJK SC"/>
        <family val="2"/>
      </rPr>
      <t xml:space="preserve">의 </t>
    </r>
    <r>
      <rPr>
        <sz val="10"/>
        <rFont val="Arial"/>
        <family val="2"/>
        <charset val="1"/>
      </rPr>
      <t xml:space="preserve">error </t>
    </r>
    <r>
      <rPr>
        <sz val="10"/>
        <rFont val="Noto Sans CJK SC"/>
        <family val="2"/>
      </rPr>
      <t>와 겹치는지</t>
    </r>
  </si>
  <si>
    <r>
      <rPr>
        <sz val="10"/>
        <rFont val="Arial"/>
        <family val="2"/>
        <charset val="1"/>
      </rPr>
      <t xml:space="preserve">                 (</t>
    </r>
    <r>
      <rPr>
        <sz val="10"/>
        <rFont val="Noto Sans CJK SC"/>
        <family val="2"/>
      </rPr>
      <t xml:space="preserve">시험지가 교과서에 있으면 점수가 의미 없다 — </t>
    </r>
    <r>
      <rPr>
        <sz val="10"/>
        <rFont val="Arial"/>
        <family val="2"/>
        <charset val="1"/>
      </rPr>
      <t>README)</t>
    </r>
  </si>
  <si>
    <r>
      <rPr>
        <sz val="10"/>
        <rFont val="Arial"/>
        <family val="2"/>
        <charset val="1"/>
      </rPr>
      <t xml:space="preserve">④ rules text </t>
    </r>
    <r>
      <rPr>
        <sz val="10"/>
        <rFont val="Noto Sans CJK SC"/>
        <family val="2"/>
      </rPr>
      <t xml:space="preserve">길이  </t>
    </r>
    <r>
      <rPr>
        <sz val="10"/>
        <rFont val="Arial"/>
        <family val="2"/>
        <charset val="1"/>
      </rPr>
      <t>80~200</t>
    </r>
    <r>
      <rPr>
        <sz val="10"/>
        <rFont val="Noto Sans CJK SC"/>
        <family val="2"/>
      </rPr>
      <t>자 권장 범위를 벗어나면 표시</t>
    </r>
  </si>
  <si>
    <r>
      <rPr>
        <sz val="10"/>
        <rFont val="Arial"/>
        <family val="2"/>
        <charset val="1"/>
      </rPr>
      <t xml:space="preserve">⑤ faq variants </t>
    </r>
    <r>
      <rPr>
        <sz val="10"/>
        <rFont val="Noto Sans CJK SC"/>
        <family val="2"/>
      </rPr>
      <t xml:space="preserve">수  </t>
    </r>
    <r>
      <rPr>
        <sz val="10"/>
        <rFont val="Arial"/>
        <family val="2"/>
        <charset val="1"/>
      </rPr>
      <t>3</t>
    </r>
    <r>
      <rPr>
        <sz val="10"/>
        <rFont val="Noto Sans CJK SC"/>
        <family val="2"/>
      </rPr>
      <t>개 미만이면 표시</t>
    </r>
  </si>
  <si>
    <r>
      <rPr>
        <sz val="10"/>
        <rFont val="Arial"/>
        <family val="2"/>
        <charset val="1"/>
      </rPr>
      <t xml:space="preserve">⑥ unit </t>
    </r>
    <r>
      <rPr>
        <sz val="10"/>
        <rFont val="Noto Sans CJK SC"/>
        <family val="2"/>
      </rPr>
      <t xml:space="preserve">정합성    규칙이 속한 </t>
    </r>
    <r>
      <rPr>
        <sz val="10"/>
        <rFont val="Arial"/>
        <family val="2"/>
        <charset val="1"/>
      </rPr>
      <t xml:space="preserve">Unit </t>
    </r>
    <r>
      <rPr>
        <sz val="10"/>
        <rFont val="Noto Sans CJK SC"/>
        <family val="2"/>
      </rPr>
      <t xml:space="preserve">과 </t>
    </r>
    <r>
      <rPr>
        <sz val="10"/>
        <rFont val="Arial"/>
        <family val="2"/>
        <charset val="1"/>
      </rPr>
      <t xml:space="preserve">units.csv </t>
    </r>
    <r>
      <rPr>
        <sz val="10"/>
        <rFont val="Noto Sans CJK SC"/>
        <family val="2"/>
      </rPr>
      <t xml:space="preserve">의 </t>
    </r>
    <r>
      <rPr>
        <sz val="10"/>
        <rFont val="Arial"/>
        <family val="2"/>
        <charset val="1"/>
      </rPr>
      <t xml:space="preserve">rule_ids </t>
    </r>
    <r>
      <rPr>
        <sz val="10"/>
        <rFont val="Noto Sans CJK SC"/>
        <family val="2"/>
      </rPr>
      <t>가 어긋나는지</t>
    </r>
  </si>
  <si>
    <r>
      <rPr>
        <sz val="10"/>
        <rFont val="Arial"/>
        <family val="2"/>
        <charset val="1"/>
      </rPr>
      <t xml:space="preserve">⑦ errors </t>
    </r>
    <r>
      <rPr>
        <sz val="10"/>
        <rFont val="Noto Sans CJK SC"/>
        <family val="2"/>
      </rPr>
      <t xml:space="preserve">자기점검  </t>
    </r>
    <r>
      <rPr>
        <sz val="10"/>
        <rFont val="Arial"/>
        <family val="2"/>
        <charset val="1"/>
      </rPr>
      <t xml:space="preserve">error </t>
    </r>
    <r>
      <rPr>
        <sz val="10"/>
        <rFont val="Noto Sans CJK SC"/>
        <family val="2"/>
      </rPr>
      <t xml:space="preserve">와 </t>
    </r>
    <r>
      <rPr>
        <sz val="10"/>
        <rFont val="Arial"/>
        <family val="2"/>
        <charset val="1"/>
      </rPr>
      <t xml:space="preserve">correct </t>
    </r>
    <r>
      <rPr>
        <sz val="10"/>
        <rFont val="Noto Sans CJK SC"/>
        <family val="2"/>
      </rPr>
      <t>가 같지 않은지</t>
    </r>
    <r>
      <rPr>
        <sz val="10"/>
        <rFont val="Arial"/>
        <family val="2"/>
        <charset val="1"/>
      </rPr>
      <t xml:space="preserve">, distractors </t>
    </r>
    <r>
      <rPr>
        <sz val="10"/>
        <rFont val="Noto Sans CJK SC"/>
        <family val="2"/>
      </rPr>
      <t xml:space="preserve">가 </t>
    </r>
    <r>
      <rPr>
        <sz val="10"/>
        <rFont val="Arial"/>
        <family val="2"/>
        <charset val="1"/>
      </rPr>
      <t>3</t>
    </r>
    <r>
      <rPr>
        <sz val="10"/>
        <rFont val="Noto Sans CJK SC"/>
        <family val="2"/>
      </rPr>
      <t>개인지</t>
    </r>
  </si>
  <si>
    <t>■ 업로드 샘플에서 이미 걸린 것</t>
  </si>
  <si>
    <r>
      <rPr>
        <sz val="10"/>
        <rFont val="Arial"/>
        <family val="2"/>
        <charset val="1"/>
      </rPr>
      <t>· R-03(</t>
    </r>
    <r>
      <rPr>
        <sz val="10"/>
        <rFont val="Noto Sans CJK SC"/>
        <family val="2"/>
      </rPr>
      <t>명사복수형</t>
    </r>
    <r>
      <rPr>
        <sz val="10"/>
        <rFont val="Arial"/>
        <family val="2"/>
        <charset val="1"/>
      </rPr>
      <t xml:space="preserve">) — rules.jsonl </t>
    </r>
    <r>
      <rPr>
        <sz val="10"/>
        <rFont val="Noto Sans CJK SC"/>
        <family val="2"/>
      </rPr>
      <t xml:space="preserve">은 </t>
    </r>
    <r>
      <rPr>
        <sz val="10"/>
        <rFont val="Arial"/>
        <family val="2"/>
        <charset val="1"/>
      </rPr>
      <t xml:space="preserve">unit </t>
    </r>
    <r>
      <rPr>
        <sz val="10"/>
        <rFont val="Noto Sans CJK SC"/>
        <family val="2"/>
      </rPr>
      <t xml:space="preserve">을 </t>
    </r>
    <r>
      <rPr>
        <sz val="10"/>
        <rFont val="Arial"/>
        <family val="2"/>
        <charset val="1"/>
      </rPr>
      <t xml:space="preserve">U3 </t>
    </r>
    <r>
      <rPr>
        <sz val="10"/>
        <rFont val="Noto Sans CJK SC"/>
        <family val="2"/>
      </rPr>
      <t xml:space="preserve">이라 했는데 </t>
    </r>
    <r>
      <rPr>
        <sz val="10"/>
        <rFont val="Arial"/>
        <family val="2"/>
        <charset val="1"/>
      </rPr>
      <t xml:space="preserve">units.csv </t>
    </r>
    <r>
      <rPr>
        <sz val="10"/>
        <rFont val="Noto Sans CJK SC"/>
        <family val="2"/>
      </rPr>
      <t xml:space="preserve">는 </t>
    </r>
    <r>
      <rPr>
        <sz val="10"/>
        <rFont val="Arial"/>
        <family val="2"/>
        <charset val="1"/>
      </rPr>
      <t xml:space="preserve">R-03 </t>
    </r>
    <r>
      <rPr>
        <sz val="10"/>
        <rFont val="Noto Sans CJK SC"/>
        <family val="2"/>
      </rPr>
      <t xml:space="preserve">을 </t>
    </r>
    <r>
      <rPr>
        <sz val="10"/>
        <rFont val="Arial"/>
        <family val="2"/>
        <charset val="1"/>
      </rPr>
      <t xml:space="preserve">U4 </t>
    </r>
    <r>
      <rPr>
        <sz val="10"/>
        <rFont val="Noto Sans CJK SC"/>
        <family val="2"/>
      </rPr>
      <t>에 넣었다</t>
    </r>
    <r>
      <rPr>
        <sz val="10"/>
        <rFont val="Arial"/>
        <family val="2"/>
        <charset val="1"/>
      </rPr>
      <t>.</t>
    </r>
  </si>
  <si>
    <r>
      <rPr>
        <sz val="10"/>
        <rFont val="Arial"/>
        <family val="2"/>
        <charset val="1"/>
      </rPr>
      <t xml:space="preserve">  patterns p-0005 </t>
    </r>
    <r>
      <rPr>
        <sz val="10"/>
        <rFont val="Noto Sans CJK SC"/>
        <family val="2"/>
      </rPr>
      <t xml:space="preserve">와 </t>
    </r>
    <r>
      <rPr>
        <sz val="10"/>
        <rFont val="Arial"/>
        <family val="2"/>
        <charset val="1"/>
      </rPr>
      <t xml:space="preserve">errors E-0005 </t>
    </r>
    <r>
      <rPr>
        <sz val="10"/>
        <rFont val="Noto Sans CJK SC"/>
        <family val="2"/>
      </rPr>
      <t xml:space="preserve">도 </t>
    </r>
    <r>
      <rPr>
        <sz val="10"/>
        <rFont val="Arial"/>
        <family val="2"/>
        <charset val="1"/>
      </rPr>
      <t xml:space="preserve">U4 </t>
    </r>
    <r>
      <rPr>
        <sz val="10"/>
        <rFont val="Noto Sans CJK SC"/>
        <family val="2"/>
      </rPr>
      <t>이므로</t>
    </r>
    <r>
      <rPr>
        <sz val="10"/>
        <rFont val="Arial"/>
        <family val="2"/>
        <charset val="1"/>
      </rPr>
      <t xml:space="preserve">, rules.jsonl </t>
    </r>
    <r>
      <rPr>
        <sz val="10"/>
        <rFont val="Noto Sans CJK SC"/>
        <family val="2"/>
      </rPr>
      <t>쪽 값이 어긋난 것으로 보인다</t>
    </r>
    <r>
      <rPr>
        <sz val="10"/>
        <rFont val="Arial"/>
        <family val="2"/>
        <charset val="1"/>
      </rPr>
      <t>.</t>
    </r>
  </si>
  <si>
    <r>
      <rPr>
        <sz val="10"/>
        <rFont val="Arial"/>
        <family val="2"/>
        <charset val="1"/>
      </rPr>
      <t>· R-02(3</t>
    </r>
    <r>
      <rPr>
        <sz val="10"/>
        <rFont val="Noto Sans CJK SC"/>
        <family val="2"/>
      </rPr>
      <t>인칭단수</t>
    </r>
    <r>
      <rPr>
        <sz val="10"/>
        <rFont val="Arial"/>
        <family val="2"/>
        <charset val="1"/>
      </rPr>
      <t xml:space="preserve">) — units.csv 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2"/>
        <charset val="1"/>
      </rPr>
      <t xml:space="preserve">U3 </t>
    </r>
    <r>
      <rPr>
        <sz val="10"/>
        <rFont val="Noto Sans CJK SC"/>
        <family val="2"/>
      </rPr>
      <t xml:space="preserve">과 </t>
    </r>
    <r>
      <rPr>
        <sz val="10"/>
        <rFont val="Arial"/>
        <family val="2"/>
        <charset val="1"/>
      </rPr>
      <t xml:space="preserve">U4 </t>
    </r>
    <r>
      <rPr>
        <sz val="10"/>
        <rFont val="Noto Sans CJK SC"/>
        <family val="2"/>
      </rPr>
      <t>두 곳이 참조한다</t>
    </r>
    <r>
      <rPr>
        <sz val="10"/>
        <rFont val="Arial"/>
        <family val="2"/>
        <charset val="1"/>
      </rPr>
      <t xml:space="preserve">. README </t>
    </r>
    <r>
      <rPr>
        <sz val="10"/>
        <rFont val="Noto Sans CJK SC"/>
        <family val="2"/>
      </rPr>
      <t xml:space="preserve">규칙대로면 </t>
    </r>
    <r>
      <rPr>
        <sz val="10"/>
        <rFont val="Arial"/>
        <family val="2"/>
        <charset val="1"/>
      </rPr>
      <t xml:space="preserve">unit </t>
    </r>
    <r>
      <rPr>
        <sz val="10"/>
        <rFont val="Noto Sans CJK SC"/>
        <family val="2"/>
      </rPr>
      <t xml:space="preserve">을 </t>
    </r>
    <r>
      <rPr>
        <sz val="10"/>
        <rFont val="Arial"/>
        <family val="2"/>
        <charset val="1"/>
      </rPr>
      <t xml:space="preserve">ALL </t>
    </r>
    <r>
      <rPr>
        <sz val="10"/>
        <rFont val="Noto Sans CJK SC"/>
        <family val="2"/>
      </rPr>
      <t>로</t>
    </r>
  </si>
  <si>
    <t xml:space="preserve">  두는 편이 맞는지 확인이 필요하다.</t>
  </si>
  <si>
    <r>
      <rPr>
        <sz val="10"/>
        <rFont val="Arial"/>
        <family val="2"/>
        <charset val="1"/>
      </rPr>
      <t>· F-05(</t>
    </r>
    <r>
      <rPr>
        <sz val="10"/>
        <rFont val="Noto Sans CJK SC"/>
        <family val="2"/>
      </rPr>
      <t xml:space="preserve">왜 </t>
    </r>
    <r>
      <rPr>
        <sz val="10"/>
        <rFont val="Arial"/>
        <family val="2"/>
        <charset val="1"/>
      </rPr>
      <t>-s</t>
    </r>
    <r>
      <rPr>
        <sz val="10"/>
        <rFont val="Noto Sans CJK SC"/>
        <family val="2"/>
      </rPr>
      <t>를 붙여요</t>
    </r>
    <r>
      <rPr>
        <sz val="10"/>
        <rFont val="Arial"/>
        <family val="2"/>
        <charset val="1"/>
      </rPr>
      <t xml:space="preserve">?) — unit </t>
    </r>
    <r>
      <rPr>
        <sz val="10"/>
        <rFont val="Noto Sans CJK SC"/>
        <family val="2"/>
      </rPr>
      <t xml:space="preserve">이 </t>
    </r>
    <r>
      <rPr>
        <sz val="10"/>
        <rFont val="Arial"/>
        <family val="2"/>
        <charset val="1"/>
      </rPr>
      <t xml:space="preserve">U5 </t>
    </r>
    <r>
      <rPr>
        <sz val="10"/>
        <rFont val="Noto Sans CJK SC"/>
        <family val="2"/>
      </rPr>
      <t xml:space="preserve">인데 근거 규칙 </t>
    </r>
    <r>
      <rPr>
        <sz val="10"/>
        <rFont val="Arial"/>
        <family val="2"/>
        <charset val="1"/>
      </rPr>
      <t xml:space="preserve">R-02 </t>
    </r>
    <r>
      <rPr>
        <sz val="10"/>
        <rFont val="Noto Sans CJK SC"/>
        <family val="2"/>
      </rPr>
      <t xml:space="preserve">는 </t>
    </r>
    <r>
      <rPr>
        <sz val="10"/>
        <rFont val="Arial"/>
        <family val="2"/>
        <charset val="1"/>
      </rPr>
      <t xml:space="preserve">U5 </t>
    </r>
    <r>
      <rPr>
        <sz val="10"/>
        <rFont val="Noto Sans CJK SC"/>
        <family val="2"/>
      </rPr>
      <t xml:space="preserve">의 </t>
    </r>
    <r>
      <rPr>
        <sz val="10"/>
        <rFont val="Arial"/>
        <family val="2"/>
        <charset val="1"/>
      </rPr>
      <t xml:space="preserve">rule_ids </t>
    </r>
    <r>
      <rPr>
        <sz val="10"/>
        <rFont val="Noto Sans CJK SC"/>
        <family val="2"/>
      </rPr>
      <t>에 없다</t>
    </r>
    <r>
      <rPr>
        <sz val="10"/>
        <rFont val="Arial"/>
        <family val="2"/>
        <charset val="1"/>
      </rPr>
      <t>.</t>
    </r>
  </si>
  <si>
    <r>
      <rPr>
        <sz val="10"/>
        <rFont val="Arial"/>
        <family val="2"/>
        <charset val="1"/>
      </rPr>
      <t xml:space="preserve">· w-0007 teacher </t>
    </r>
    <r>
      <rPr>
        <sz val="10"/>
        <rFont val="Noto Sans CJK SC"/>
        <family val="2"/>
      </rPr>
      <t xml:space="preserve">예문 </t>
    </r>
    <r>
      <rPr>
        <sz val="10"/>
        <rFont val="Arial"/>
        <family val="2"/>
        <charset val="1"/>
      </rPr>
      <t xml:space="preserve">'My teacher is kind.' — kind </t>
    </r>
    <r>
      <rPr>
        <sz val="10"/>
        <rFont val="Noto Sans CJK SC"/>
        <family val="2"/>
      </rPr>
      <t xml:space="preserve">를 형용사로 쓰면 </t>
    </r>
    <r>
      <rPr>
        <sz val="10"/>
        <rFont val="Arial"/>
        <family val="2"/>
        <charset val="1"/>
      </rPr>
      <t xml:space="preserve">Cambridge Flyers </t>
    </r>
    <r>
      <rPr>
        <sz val="10"/>
        <rFont val="Noto Sans CJK SC"/>
        <family val="2"/>
      </rPr>
      <t>등급이다</t>
    </r>
    <r>
      <rPr>
        <sz val="10"/>
        <rFont val="Arial"/>
        <family val="2"/>
        <charset val="1"/>
      </rPr>
      <t>.</t>
    </r>
  </si>
  <si>
    <r>
      <rPr>
        <sz val="10"/>
        <rFont val="Arial"/>
        <family val="2"/>
        <charset val="1"/>
      </rPr>
      <t xml:space="preserve">  plan-A </t>
    </r>
    <r>
      <rPr>
        <sz val="10"/>
        <rFont val="Noto Sans CJK SC"/>
        <family val="2"/>
      </rPr>
      <t>샘플에서도 같은 문장이 지적됐다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 xml:space="preserve">초등 </t>
    </r>
    <r>
      <rPr>
        <sz val="10"/>
        <rFont val="Arial"/>
        <family val="2"/>
        <charset val="1"/>
      </rPr>
      <t>3</t>
    </r>
    <r>
      <rPr>
        <sz val="10"/>
        <rFont val="Noto Sans CJK SC"/>
        <family val="2"/>
      </rPr>
      <t>학년 기준이면 교체를 권한다</t>
    </r>
    <r>
      <rPr>
        <sz val="10"/>
        <rFont val="Arial"/>
        <family val="2"/>
        <charset val="1"/>
      </rPr>
      <t>.</t>
    </r>
  </si>
  <si>
    <r>
      <rPr>
        <sz val="10"/>
        <rFont val="Arial"/>
        <family val="2"/>
        <charset val="1"/>
      </rPr>
      <t xml:space="preserve">· w-0001 rabbit · w-0002 lion — Cambridge </t>
    </r>
    <r>
      <rPr>
        <sz val="10"/>
        <rFont val="Noto Sans CJK SC"/>
        <family val="2"/>
      </rPr>
      <t xml:space="preserve">등급이 </t>
    </r>
    <r>
      <rPr>
        <sz val="10"/>
        <rFont val="Arial"/>
        <family val="2"/>
        <charset val="1"/>
      </rPr>
      <t xml:space="preserve">Movers </t>
    </r>
    <r>
      <rPr>
        <sz val="10"/>
        <rFont val="Noto Sans CJK SC"/>
        <family val="2"/>
      </rPr>
      <t>다</t>
    </r>
    <r>
      <rPr>
        <sz val="10"/>
        <rFont val="Arial"/>
        <family val="2"/>
        <charset val="1"/>
      </rPr>
      <t xml:space="preserve">(Starters </t>
    </r>
    <r>
      <rPr>
        <sz val="10"/>
        <rFont val="Noto Sans CJK SC"/>
        <family val="2"/>
      </rPr>
      <t>아님</t>
    </r>
    <r>
      <rPr>
        <sz val="10"/>
        <rFont val="Arial"/>
        <family val="2"/>
        <charset val="1"/>
      </rPr>
      <t>).</t>
    </r>
  </si>
  <si>
    <t xml:space="preserve">  다만 plan-B 는 단어 난이도보다 규칙 학습이 중심이라, 이 기준을 계속 적용할지 팀 판단이 필요하다.</t>
  </si>
  <si>
    <t xml:space="preserve">  나머지 단어의 등급은 아직 대조하지 않았다(미검수).</t>
  </si>
  <si>
    <t>■ 목표량 대비 진행률</t>
  </si>
  <si>
    <t>시트</t>
  </si>
  <si>
    <t>현재</t>
  </si>
  <si>
    <t>목표</t>
  </si>
  <si>
    <t>남음</t>
  </si>
  <si>
    <t>01_rules</t>
  </si>
  <si>
    <t>02_eval</t>
  </si>
  <si>
    <t>03_units</t>
  </si>
  <si>
    <t>04_patterns</t>
  </si>
  <si>
    <t>05_words</t>
  </si>
  <si>
    <t>06_errors</t>
  </si>
  <si>
    <t>07_faq</t>
  </si>
  <si>
    <t>■ 내보내기</t>
  </si>
  <si>
    <t>각 시트의 파란 컬럼 범위만 선택 → 새 시트에 복사 → CSV(UTF-8) 저장.</t>
  </si>
  <si>
    <r>
      <rPr>
        <sz val="10"/>
        <rFont val="Arial"/>
        <family val="2"/>
        <charset val="1"/>
      </rPr>
      <t xml:space="preserve">jsonl </t>
    </r>
    <r>
      <rPr>
        <sz val="10"/>
        <rFont val="Noto Sans CJK SC"/>
        <family val="2"/>
      </rPr>
      <t>대상 시트</t>
    </r>
    <r>
      <rPr>
        <sz val="10"/>
        <rFont val="Arial"/>
        <family val="2"/>
        <charset val="1"/>
      </rPr>
      <t>(01·06·07)</t>
    </r>
    <r>
      <rPr>
        <sz val="10"/>
        <rFont val="Noto Sans CJK SC"/>
        <family val="2"/>
      </rPr>
      <t xml:space="preserve">는 </t>
    </r>
    <r>
      <rPr>
        <sz val="10"/>
        <rFont val="Arial"/>
        <family val="2"/>
        <charset val="1"/>
      </rPr>
      <t xml:space="preserve">CSV </t>
    </r>
    <r>
      <rPr>
        <sz val="10"/>
        <rFont val="Noto Sans CJK SC"/>
        <family val="2"/>
      </rPr>
      <t xml:space="preserve">로 뽑은 뒤 변환 스크립트로 </t>
    </r>
    <r>
      <rPr>
        <sz val="10"/>
        <rFont val="Arial"/>
        <family val="2"/>
        <charset val="1"/>
      </rPr>
      <t xml:space="preserve">JSONL </t>
    </r>
    <r>
      <rPr>
        <sz val="10"/>
        <rFont val="Noto Sans CJK SC"/>
        <family val="2"/>
      </rPr>
      <t>을 만든다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>개발 담당</t>
    </r>
    <r>
      <rPr>
        <sz val="10"/>
        <rFont val="Arial"/>
        <family val="2"/>
        <charset val="1"/>
      </rPr>
      <t>).</t>
    </r>
  </si>
  <si>
    <t>작업용·검사 컬럼을 함께 내보내면 파서가 깨지므로 범위를 반드시 확인한다.</t>
  </si>
  <si>
    <t>■ 작업 순서 (README 우선순위)</t>
  </si>
  <si>
    <r>
      <rPr>
        <sz val="10"/>
        <rFont val="Arial"/>
        <family val="2"/>
        <charset val="1"/>
      </rPr>
      <t>1</t>
    </r>
    <r>
      <rPr>
        <sz val="10"/>
        <rFont val="Noto Sans CJK SC"/>
        <family val="2"/>
      </rPr>
      <t xml:space="preserve">단계  </t>
    </r>
    <r>
      <rPr>
        <sz val="10"/>
        <rFont val="Arial"/>
        <family val="2"/>
        <charset val="1"/>
      </rPr>
      <t>01_rules 25</t>
    </r>
    <r>
      <rPr>
        <sz val="10"/>
        <rFont val="Noto Sans CJK SC"/>
        <family val="2"/>
      </rPr>
      <t xml:space="preserve">개 </t>
    </r>
    <r>
      <rPr>
        <sz val="10"/>
        <rFont val="Arial"/>
        <family val="2"/>
        <charset val="1"/>
      </rPr>
      <t>+ 02_eval 30</t>
    </r>
    <r>
      <rPr>
        <sz val="10"/>
        <rFont val="Noto Sans CJK SC"/>
        <family val="2"/>
      </rPr>
      <t xml:space="preserve">개 → 여기까지만 있어도 </t>
    </r>
    <r>
      <rPr>
        <sz val="10"/>
        <rFont val="Arial"/>
        <family val="2"/>
        <charset val="1"/>
      </rPr>
      <t xml:space="preserve">RAG </t>
    </r>
    <r>
      <rPr>
        <sz val="10"/>
        <rFont val="Noto Sans CJK SC"/>
        <family val="2"/>
      </rPr>
      <t>검색 실험을 시작할 수 있다</t>
    </r>
    <r>
      <rPr>
        <sz val="10"/>
        <rFont val="Arial"/>
        <family val="2"/>
        <charset val="1"/>
      </rPr>
      <t>.</t>
    </r>
  </si>
  <si>
    <r>
      <rPr>
        <sz val="10"/>
        <rFont val="Arial"/>
        <family val="2"/>
        <charset val="1"/>
      </rPr>
      <t>2</t>
    </r>
    <r>
      <rPr>
        <sz val="10"/>
        <rFont val="Noto Sans CJK SC"/>
        <family val="2"/>
      </rPr>
      <t xml:space="preserve">단계  </t>
    </r>
    <r>
      <rPr>
        <sz val="10"/>
        <rFont val="Arial"/>
        <family val="2"/>
        <charset val="1"/>
      </rPr>
      <t>03_units 3</t>
    </r>
    <r>
      <rPr>
        <sz val="10"/>
        <rFont val="Noto Sans CJK SC"/>
        <family val="2"/>
      </rPr>
      <t xml:space="preserve">개 </t>
    </r>
    <r>
      <rPr>
        <sz val="10"/>
        <rFont val="Arial"/>
        <family val="2"/>
        <charset val="1"/>
      </rPr>
      <t>· 04_patterns 20</t>
    </r>
    <r>
      <rPr>
        <sz val="10"/>
        <rFont val="Noto Sans CJK SC"/>
        <family val="2"/>
      </rPr>
      <t xml:space="preserve">개 </t>
    </r>
    <r>
      <rPr>
        <sz val="10"/>
        <rFont val="Arial"/>
        <family val="2"/>
        <charset val="1"/>
      </rPr>
      <t>· 05_words 40</t>
    </r>
    <r>
      <rPr>
        <sz val="10"/>
        <rFont val="Noto Sans CJK SC"/>
        <family val="2"/>
      </rPr>
      <t>개 → 화면에 붙일 데이터</t>
    </r>
    <r>
      <rPr>
        <sz val="10"/>
        <rFont val="Arial"/>
        <family val="2"/>
        <charset val="1"/>
      </rPr>
      <t>.</t>
    </r>
  </si>
  <si>
    <r>
      <rPr>
        <sz val="10"/>
        <rFont val="Arial"/>
        <family val="2"/>
        <charset val="1"/>
      </rPr>
      <t>3</t>
    </r>
    <r>
      <rPr>
        <sz val="10"/>
        <rFont val="Noto Sans CJK SC"/>
        <family val="2"/>
      </rPr>
      <t xml:space="preserve">단계  </t>
    </r>
    <r>
      <rPr>
        <sz val="10"/>
        <rFont val="Arial"/>
        <family val="2"/>
        <charset val="1"/>
      </rPr>
      <t>06_errors 40</t>
    </r>
    <r>
      <rPr>
        <sz val="10"/>
        <rFont val="Noto Sans CJK SC"/>
        <family val="2"/>
      </rPr>
      <t xml:space="preserve">개 </t>
    </r>
    <r>
      <rPr>
        <sz val="10"/>
        <rFont val="Arial"/>
        <family val="2"/>
        <charset val="1"/>
      </rPr>
      <t>· 07_faq 30</t>
    </r>
    <r>
      <rPr>
        <sz val="10"/>
        <rFont val="Noto Sans CJK SC"/>
        <family val="2"/>
      </rPr>
      <t>개 → 규칙 연습과 물어보기 챗</t>
    </r>
    <r>
      <rPr>
        <sz val="10"/>
        <rFont val="Arial"/>
        <family val="2"/>
        <charset val="1"/>
      </rPr>
      <t>.</t>
    </r>
  </si>
  <si>
    <r>
      <rPr>
        <b/>
        <sz val="11"/>
        <color rgb="FF1F4E79"/>
        <rFont val="Arial"/>
        <family val="2"/>
        <charset val="1"/>
      </rPr>
      <t xml:space="preserve">■ rules text </t>
    </r>
    <r>
      <rPr>
        <b/>
        <sz val="11"/>
        <color rgb="FF1F4E79"/>
        <rFont val="Noto Sans CJK SC"/>
        <family val="2"/>
      </rPr>
      <t>를 쓸 때</t>
    </r>
  </si>
  <si>
    <t>학생이 실제로 쓸 법한 영어 단어 + 맞는 예 2개 + 틀린 예 1개 + 한국어 설명을 한 덩어리로.</t>
  </si>
  <si>
    <t>검색은 이 text 로만 이뤄지므로, 학생 문장에 나올 단어가 text 안에 들어 있어야 걸린다.</t>
  </si>
  <si>
    <r>
      <rPr>
        <b/>
        <sz val="11"/>
        <color rgb="FF1F4E79"/>
        <rFont val="Arial"/>
        <family val="2"/>
        <charset val="1"/>
      </rPr>
      <t xml:space="preserve">■ faq </t>
    </r>
    <r>
      <rPr>
        <b/>
        <sz val="11"/>
        <color rgb="FF1F4E79"/>
        <rFont val="Noto Sans CJK SC"/>
        <family val="2"/>
      </rPr>
      <t>를 쓸 때</t>
    </r>
  </si>
  <si>
    <r>
      <rPr>
        <sz val="10"/>
        <rFont val="Arial"/>
        <family val="2"/>
        <charset val="1"/>
      </rPr>
      <t xml:space="preserve">question </t>
    </r>
    <r>
      <rPr>
        <sz val="10"/>
        <rFont val="Noto Sans CJK SC"/>
        <family val="2"/>
      </rPr>
      <t>은 아이 말투로</t>
    </r>
    <r>
      <rPr>
        <sz val="10"/>
        <rFont val="Arial"/>
        <family val="2"/>
        <charset val="1"/>
      </rPr>
      <t>. '</t>
    </r>
    <r>
      <rPr>
        <sz val="10"/>
        <rFont val="Noto Sans CJK SC"/>
        <family val="2"/>
      </rPr>
      <t>과거형 불규칙 동사의 활용은</t>
    </r>
    <r>
      <rPr>
        <sz val="10"/>
        <rFont val="Arial"/>
        <family val="2"/>
        <charset val="1"/>
      </rPr>
      <t>?' ✕ → '</t>
    </r>
    <r>
      <rPr>
        <sz val="10"/>
        <rFont val="Noto Sans CJK SC"/>
        <family val="2"/>
      </rPr>
      <t xml:space="preserve">왜 </t>
    </r>
    <r>
      <rPr>
        <sz val="10"/>
        <rFont val="Arial"/>
        <family val="2"/>
        <charset val="1"/>
      </rPr>
      <t>went</t>
    </r>
    <r>
      <rPr>
        <sz val="10"/>
        <rFont val="Noto Sans CJK SC"/>
        <family val="2"/>
      </rPr>
      <t>예요</t>
    </r>
    <r>
      <rPr>
        <sz val="10"/>
        <rFont val="Arial"/>
        <family val="2"/>
        <charset val="1"/>
      </rPr>
      <t>?' ○</t>
    </r>
  </si>
  <si>
    <r>
      <rPr>
        <sz val="10"/>
        <rFont val="Arial"/>
        <family val="2"/>
        <charset val="1"/>
      </rPr>
      <t xml:space="preserve">variants </t>
    </r>
    <r>
      <rPr>
        <sz val="10"/>
        <rFont val="Noto Sans CJK SC"/>
        <family val="2"/>
      </rPr>
      <t xml:space="preserve">는 </t>
    </r>
    <r>
      <rPr>
        <sz val="10"/>
        <rFont val="Arial"/>
        <family val="2"/>
        <charset val="1"/>
      </rPr>
      <t>3</t>
    </r>
    <r>
      <rPr>
        <sz val="10"/>
        <rFont val="Noto Sans CJK SC"/>
        <family val="2"/>
      </rPr>
      <t>개 이상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같은 질문을 다르게 묻는 방식이 많을수록 검색이 잘 된다</t>
    </r>
    <r>
      <rPr>
        <sz val="10"/>
        <rFont val="Arial"/>
        <family val="2"/>
        <charset val="1"/>
      </rPr>
      <t>.</t>
    </r>
  </si>
  <si>
    <r>
      <rPr>
        <sz val="10"/>
        <rFont val="Arial"/>
        <family val="2"/>
        <charset val="1"/>
      </rPr>
      <t xml:space="preserve">answer </t>
    </r>
    <r>
      <rPr>
        <sz val="10"/>
        <rFont val="Noto Sans CJK SC"/>
        <family val="2"/>
      </rPr>
      <t xml:space="preserve">는 초등 </t>
    </r>
    <r>
      <rPr>
        <sz val="10"/>
        <rFont val="Arial"/>
        <family val="2"/>
        <charset val="1"/>
      </rPr>
      <t>3</t>
    </r>
    <r>
      <rPr>
        <sz val="10"/>
        <rFont val="Noto Sans CJK SC"/>
        <family val="2"/>
      </rPr>
      <t xml:space="preserve">학년 말투 </t>
    </r>
    <r>
      <rPr>
        <sz val="10"/>
        <rFont val="Arial"/>
        <family val="2"/>
        <charset val="1"/>
      </rPr>
      <t>2~3</t>
    </r>
    <r>
      <rPr>
        <sz val="10"/>
        <rFont val="Noto Sans CJK SC"/>
        <family val="2"/>
      </rPr>
      <t>문장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여기 적힌 것 밖의 내용은 챗이 말하지 않는다</t>
    </r>
    <r>
      <rPr>
        <sz val="10"/>
        <rFont val="Arial"/>
        <family val="2"/>
        <charset val="1"/>
      </rPr>
      <t>.</t>
    </r>
  </si>
  <si>
    <t>id</t>
  </si>
  <si>
    <t>type</t>
  </si>
  <si>
    <t>unit</t>
  </si>
  <si>
    <t>text</t>
  </si>
  <si>
    <t>short</t>
  </si>
  <si>
    <r>
      <rPr>
        <b/>
        <sz val="10"/>
        <color rgb="FFFFFFFF"/>
        <rFont val="Arial"/>
        <family val="2"/>
        <charset val="1"/>
      </rPr>
      <t>examples (;</t>
    </r>
    <r>
      <rPr>
        <b/>
        <sz val="10"/>
        <color rgb="FFFFFFFF"/>
        <rFont val="Noto Sans CJK SC"/>
        <family val="2"/>
      </rPr>
      <t>구분</t>
    </r>
    <r>
      <rPr>
        <b/>
        <sz val="10"/>
        <color rgb="FFFFFFFF"/>
        <rFont val="Arial"/>
        <family val="2"/>
        <charset val="1"/>
      </rPr>
      <t>)</t>
    </r>
  </si>
  <si>
    <t>wrong_example</t>
  </si>
  <si>
    <t>생성방법</t>
  </si>
  <si>
    <t>검수상태</t>
  </si>
  <si>
    <t>검수자</t>
  </si>
  <si>
    <t>비고</t>
  </si>
  <si>
    <r>
      <rPr>
        <b/>
        <sz val="10"/>
        <color rgb="FFFFFFFF"/>
        <rFont val="Arial"/>
        <family val="2"/>
        <charset val="1"/>
      </rPr>
      <t>chk_id</t>
    </r>
    <r>
      <rPr>
        <b/>
        <sz val="10"/>
        <color rgb="FFFFFFFF"/>
        <rFont val="Noto Sans CJK SC"/>
        <family val="2"/>
      </rPr>
      <t>중복</t>
    </r>
  </si>
  <si>
    <r>
      <rPr>
        <b/>
        <sz val="10"/>
        <color rgb="FFFFFFFF"/>
        <rFont val="Arial"/>
        <family val="2"/>
        <charset val="1"/>
      </rPr>
      <t>chk_text</t>
    </r>
    <r>
      <rPr>
        <b/>
        <sz val="10"/>
        <color rgb="FFFFFFFF"/>
        <rFont val="Noto Sans CJK SC"/>
        <family val="2"/>
      </rPr>
      <t>길이</t>
    </r>
  </si>
  <si>
    <r>
      <rPr>
        <b/>
        <sz val="10"/>
        <color rgb="FFFFFFFF"/>
        <rFont val="Arial"/>
        <family val="2"/>
        <charset val="1"/>
      </rPr>
      <t>units.csv</t>
    </r>
    <r>
      <rPr>
        <b/>
        <sz val="10"/>
        <color rgb="FFFFFFFF"/>
        <rFont val="Noto Sans CJK SC"/>
        <family val="2"/>
      </rPr>
      <t>상 소속</t>
    </r>
  </si>
  <si>
    <t>chk_unit</t>
  </si>
  <si>
    <t>R-01</t>
  </si>
  <si>
    <t>형용사+be동사</t>
  </si>
  <si>
    <t>Unit01</t>
  </si>
  <si>
    <t>형용사(성격·기분을 나타내는 말) 앞에는 반드시 be동사(am/is/are)가 와야 해요. I am sorry. She is polite. be동사 없이 형용사만 쓰면 안 돼요. 틀린 예: I sorry.</t>
  </si>
  <si>
    <t>형용사 앞엔 be동사</t>
  </si>
  <si>
    <t>I am sorry.;She is very polite.</t>
  </si>
  <si>
    <t>I sorry.</t>
  </si>
  <si>
    <t>AI 생성(단어세트 연계)</t>
  </si>
  <si>
    <t>미검수</t>
  </si>
  <si>
    <t>R-02</t>
  </si>
  <si>
    <t>인사말 문장부호</t>
  </si>
  <si>
    <t>인사말 뒤에 부르는 사람 이름이 오면 쉼표(,)를 쓰고, 인사말 문장은 느낌표(!)로 마무리해요. Hello, Tom! Good morning! 쉼표나 느낌표를 빼면 어색해요. 틀린 예: Hello Tom.</t>
  </si>
  <si>
    <t>인사말 뒤 쉼표·느낌표</t>
  </si>
  <si>
    <t>Hello, Tom!;Good morning!</t>
  </si>
  <si>
    <t>Hello Tom.</t>
  </si>
  <si>
    <t>R-03</t>
  </si>
  <si>
    <t>소유격</t>
  </si>
  <si>
    <t>Unit02</t>
  </si>
  <si>
    <t>누구의 것인지 말할 때 이름 뒤에 's를 붙이거나 my/his/her 같은 소유격을 써요. This is Tom's book. She is my sister. 's나 소유격을 빼면 안 돼요. 틀린 예: This is Tom book.</t>
  </si>
  <si>
    <t>누구 것? 's / my</t>
  </si>
  <si>
    <t>This is Tom's book.;She is my sister.</t>
  </si>
  <si>
    <t>This is Tom book.</t>
  </si>
  <si>
    <t>R-04</t>
  </si>
  <si>
    <t>This·These 소개구문</t>
  </si>
  <si>
    <t>한 사람이나 물건을 소개할 땐 This is를, 여러 명이면 These are를 써요. This is my mom. These are my grandparents. is/are를 반대로 쓰면 틀려요. 틀린 예: This are my mom.</t>
  </si>
  <si>
    <t>한 명 This is, 여럿 These are</t>
  </si>
  <si>
    <t>This is my mom.;These are my grandparents.</t>
  </si>
  <si>
    <t>This are my mom.</t>
  </si>
  <si>
    <t>R-05</t>
  </si>
  <si>
    <t>There is·are 구문</t>
  </si>
  <si>
    <t>Unit03</t>
  </si>
  <si>
    <t>무엇이 있다고 말할 때 하나면 There is, 여러 개면 There are를 써요. There is a book on the desk. There are many students. is/are를 반대로 쓰면 틀려요. 틀린 예: There is many students.</t>
  </si>
  <si>
    <t>하나 There is, 여럿 There are</t>
  </si>
  <si>
    <t>There is a book on the desk.;There are many students.</t>
  </si>
  <si>
    <t>There is many students.</t>
  </si>
  <si>
    <t>R-06</t>
  </si>
  <si>
    <t>동사+목적어 어순</t>
  </si>
  <si>
    <t>영어 문장은 주어+동사+목적어 순서로 써요. I read a book. She writes a letter. 목적어를 동사 앞에 쓰면 안 돼요. 틀린 예: I a book read.</t>
  </si>
  <si>
    <t>주어+동사+목적어 순서</t>
  </si>
  <si>
    <t>I read a book.;She writes a letter.</t>
  </si>
  <si>
    <t>I a book read.</t>
  </si>
  <si>
    <t>R-07</t>
  </si>
  <si>
    <t>can+동사원형</t>
  </si>
  <si>
    <t>Unit04</t>
  </si>
  <si>
    <t>할 수 있는 것을 말할 때 can 뒤에는 동사원형을 그대로 써요. The rabbit can jump. Birds can fly. can 뒤에 -s나 -ing를 붙이면 안 돼요. 틀린 예: The rabbit can jumps.</t>
  </si>
  <si>
    <t>can 뒤엔 동사원형</t>
  </si>
  <si>
    <t>The rabbit can jump.;Birds can fly.</t>
  </si>
  <si>
    <t>The rabbit can jumps.</t>
  </si>
  <si>
    <t>R-08</t>
  </si>
  <si>
    <t>This·These 단수복수 일치</t>
  </si>
  <si>
    <t>가리키는 것이 하나면 This, 여러 개면 These를 쓰고 명사도 복수형(-s)으로 맞춰요. This lion is big. These lions are big. This에 복수명사를 쓰면 안 돼요. 틀린 예: This lions is big.</t>
  </si>
  <si>
    <t>This+단수, These+복수</t>
  </si>
  <si>
    <t>This lion is big.;These lions are big.</t>
  </si>
  <si>
    <t>This lions is big.</t>
  </si>
  <si>
    <t>R-09</t>
  </si>
  <si>
    <t>셀 수 없는 명사</t>
  </si>
  <si>
    <t>Unit05</t>
  </si>
  <si>
    <t>물이나 밥처럼 셀 수 없는 것은 many 대신 much나 some을 써요. I have much rice. I want some water. many를 쓰면 안 돼요. 틀린 예: I have many rice.</t>
  </si>
  <si>
    <t>셀 수 없으면 much/some</t>
  </si>
  <si>
    <t>I have much rice.;I want some water.</t>
  </si>
  <si>
    <t>I have many rice.</t>
  </si>
  <si>
    <t>R-10</t>
  </si>
  <si>
    <t>want+명사</t>
  </si>
  <si>
    <t>원하는 것을 말할 때 want 뒤에 명사를 바로 써요. I want a pizza. She wants some bread. 명사 앞에 to를 붙이면 안 돼요. 틀린 예: I want to a pizza.</t>
  </si>
  <si>
    <t>want 뒤엔 명사 바로</t>
  </si>
  <si>
    <t>I want a pizza.;She wants some bread.</t>
  </si>
  <si>
    <t>I want to a pizza.</t>
  </si>
  <si>
    <t>R-11</t>
  </si>
  <si>
    <t>형용사+명사 어순</t>
  </si>
  <si>
    <t>Unit06</t>
  </si>
  <si>
    <t>색깔이나 모양을 나타내는 형용사는 명사 앞에 와요. a red apple, a big house. 명사 뒤에 쓰면 안 돼요. 틀린 예: I have an apple red.</t>
  </si>
  <si>
    <t>형용사는 명사 앞에</t>
  </si>
  <si>
    <t>I have a red apple.;She has a big house.</t>
  </si>
  <si>
    <t>I have an apple red.</t>
  </si>
  <si>
    <t>R-12</t>
  </si>
  <si>
    <t>숫자+복수명사 일치</t>
  </si>
  <si>
    <t>Unit07</t>
  </si>
  <si>
    <t>둘 이상의 숫자 뒤에는 명사를 복수형(-s)으로 써요. two apples, five books. one 뒤에는 단수를 써요. 틀린 예: I have two apple.</t>
  </si>
  <si>
    <t>숫자 2 이상+복수형</t>
  </si>
  <si>
    <t>I have two apples.;She has five books.</t>
  </si>
  <si>
    <t>I have two apple.</t>
  </si>
  <si>
    <t>R-13</t>
  </si>
  <si>
    <t>서수+the</t>
  </si>
  <si>
    <t>첫 번째, 두 번째처럼 순서를 말할 때 first, second 앞에 the를 붙여요. the first day, the second class. the를 빼면 어색해요. 틀린 예: She was first to finish.</t>
  </si>
  <si>
    <t>서수 앞엔 the</t>
  </si>
  <si>
    <t>She was the first to finish.;He is the second child.</t>
  </si>
  <si>
    <t>She was first to finish.</t>
  </si>
  <si>
    <t>R-14</t>
  </si>
  <si>
    <t>비인칭주어 it(날씨)</t>
  </si>
  <si>
    <t>Unit08</t>
  </si>
  <si>
    <t>날씨를 말할 때는 뜻 없는 주어 it을 써요. It is sunny today. It is cold in winter. this나 that을 쓰면 안 돼요. 틀린 예: This is sunny today.</t>
  </si>
  <si>
    <t>날씨는 It is ~</t>
  </si>
  <si>
    <t>It is sunny today.;It is cold in winter.</t>
  </si>
  <si>
    <t>This is sunny today.</t>
  </si>
  <si>
    <t>R-15</t>
  </si>
  <si>
    <t>will+동사원형</t>
  </si>
  <si>
    <t>앞으로의 일을 말할 때 will 뒤에 동사원형을 그대로 써요. It will rain tomorrow. It will be windy. will 뒤에 -s나 -ing를 붙이면 안 돼요. 틀린 예: It will rains tomorrow.</t>
  </si>
  <si>
    <t>will 뒤엔 동사원형</t>
  </si>
  <si>
    <t>It will rain tomorrow.;It will be windy.</t>
  </si>
  <si>
    <t>It will rains tomorrow.</t>
  </si>
  <si>
    <t>R-16</t>
  </si>
  <si>
    <t>계절 앞 전치사 in</t>
  </si>
  <si>
    <t>Unit09</t>
  </si>
  <si>
    <t>계절이나 달 앞에는 전치사 in을 써요. in spring, in summer, in December. on이나 at을 쓰면 안 돼요. 틀린 예: Flowers bloom on spring.</t>
  </si>
  <si>
    <t>계절 앞엔 in</t>
  </si>
  <si>
    <t>Flowers bloom in spring.;We swim in summer.</t>
  </si>
  <si>
    <t>Flowers bloom on spring.</t>
  </si>
  <si>
    <t>R-17</t>
  </si>
  <si>
    <t>현재진행형(옷 착용)</t>
  </si>
  <si>
    <t>Unit10</t>
  </si>
  <si>
    <t>지금 입고 있는 옷은 be동사+wearing으로 말해요. She is wearing a red dress. wear만 쓰면 지금 하는 중이라는 뜻이 안 돼요. 틀린 예: She wear a red dress now.</t>
  </si>
  <si>
    <t>지금 입고 있다=be+wearing</t>
  </si>
  <si>
    <t>She is wearing a red dress.;He is wearing a jacket.</t>
  </si>
  <si>
    <t>She wear a red dress now.</t>
  </si>
  <si>
    <t>R-18</t>
  </si>
  <si>
    <t>소유격+신체부위</t>
  </si>
  <si>
    <t>Unit11</t>
  </si>
  <si>
    <t>내 몸의 일부를 말할 때는 my, his, her 같은 소유격을 신체부위 앞에 써요. I hurt my knee. He broke his arm. 소유격을 빼면 안 돼요. 틀린 예: I hurt knee.</t>
  </si>
  <si>
    <t>신체부위 앞엔 소유격</t>
  </si>
  <si>
    <t>I hurt my knee.;He broke his arm.</t>
  </si>
  <si>
    <t>I hurt knee.</t>
  </si>
  <si>
    <t>R-19</t>
  </si>
  <si>
    <t>like+동명사</t>
  </si>
  <si>
    <t>Unit12</t>
  </si>
  <si>
    <t>좋아하는 활동을 말할 때 like 뒤에 동사-ing(동명사)를 써요. I like swimming. She likes playing soccer. 동사원형만 쓰면 어색해요. 틀린 예: I like swim.</t>
  </si>
  <si>
    <t>like 뒤엔 동사-ing</t>
  </si>
  <si>
    <t>I like swimming.;She likes playing soccer.</t>
  </si>
  <si>
    <t>I like swim.</t>
  </si>
  <si>
    <t>R-20</t>
  </si>
  <si>
    <t>enjoy+동명사</t>
  </si>
  <si>
    <t>Unit13</t>
  </si>
  <si>
    <t>즐기는 활동을 말할 때 enjoy 뒤에는 반드시 동사-ing를 써요. I enjoy drawing. He enjoys collecting stamps. 동사원형이나 to를 쓰면 안 돼요. 틀린 예: I enjoy draw.</t>
  </si>
  <si>
    <t>enjoy 뒤엔 동사-ing</t>
  </si>
  <si>
    <t>I enjoy drawing.;He enjoys collecting stamps.</t>
  </si>
  <si>
    <t>I enjoy draw.</t>
  </si>
  <si>
    <t>R-21</t>
  </si>
  <si>
    <t>요일 전치사·대문자</t>
  </si>
  <si>
    <t>Unit14</t>
  </si>
  <si>
    <t>요일 앞에는 전치사 on을 쓰고, 요일 이름은 항상 대문자로 시작해요. on Monday, on Friday. 소문자로 쓰거나 in을 쓰면 안 돼요. 틀린 예: I have a test in monday.</t>
  </si>
  <si>
    <t>요일은 on+대문자</t>
  </si>
  <si>
    <t>I have a test on Monday.;We rest on Sunday.</t>
  </si>
  <si>
    <t>I have a test in monday.</t>
  </si>
  <si>
    <t>R-22</t>
  </si>
  <si>
    <t>빈도부사 어순</t>
  </si>
  <si>
    <t>always, usually 같은 빈도부사는 보통 일반동사 앞, be동사 뒤에 와요. She always goes to school. He is usually happy. 문장 맨 끝에 쓰면 어색해요. 틀린 예: She goes always to school.</t>
  </si>
  <si>
    <t>빈도부사는 동사 앞</t>
  </si>
  <si>
    <t>She always goes to school.;He is usually happy.</t>
  </si>
  <si>
    <t>She goes always to school.</t>
  </si>
  <si>
    <t>R-23</t>
  </si>
  <si>
    <t>by+교통수단(무관사)</t>
  </si>
  <si>
    <t>Unit15</t>
  </si>
  <si>
    <t>교통수단을 말할 때 by 뒤에는 관사 없이 바로 써요. by bus, by car, by train. by a bus처럼 관사를 붙이면 안 돼요. 틀린 예: I go to school by a bus.</t>
  </si>
  <si>
    <t>by+교통수단, 관사 없이</t>
  </si>
  <si>
    <t>I go to school by bus.;She goes home by car.</t>
  </si>
  <si>
    <t>I go to school by a bus.</t>
  </si>
  <si>
    <t>R-24</t>
  </si>
  <si>
    <t>go to the+장소</t>
  </si>
  <si>
    <t>Unit16</t>
  </si>
  <si>
    <t>특정한 장소에 갈 때는 go to 뒤에 the를 붙여요. go to the park, go to the market. the를 빼면 어색해요. 틀린 예: We go to park every day.</t>
  </si>
  <si>
    <t>장소 앞엔 go to the</t>
  </si>
  <si>
    <t>We go to the park every day.;They go to the market.</t>
  </si>
  <si>
    <t>We go to park every day.</t>
  </si>
  <si>
    <t>R-25</t>
  </si>
  <si>
    <t>want to be a/an+직업</t>
  </si>
  <si>
    <t>Unit17</t>
  </si>
  <si>
    <t>장래희망을 말할 때 want to be 뒤에 a나 an과 직업 이름을 써요. I want to be a doctor. She wants to be an artist. a/an을 빼면 안 돼요. 틀린 예: I want to be doctor.</t>
  </si>
  <si>
    <t>장래희망=want to be a/an</t>
  </si>
  <si>
    <t>I want to be a doctor.;She wants to be an artist.</t>
  </si>
  <si>
    <t>I want to be doctor.</t>
  </si>
  <si>
    <t>R-26</t>
  </si>
  <si>
    <t>be동사+a/an+직업</t>
  </si>
  <si>
    <t>직업을 소개할 때 be동사 뒤에 a나 an과 직업 이름을 써요. My dad is a firefighter. She is an engineer. a/an 없이 쓰면 안 돼요. 틀린 예: My dad is firefighter.</t>
  </si>
  <si>
    <t>직업 앞엔 a/an</t>
  </si>
  <si>
    <t>My dad is a firefighter.;She is an engineer.</t>
  </si>
  <si>
    <t>My dad is firefighter.</t>
  </si>
  <si>
    <t>R-27</t>
  </si>
  <si>
    <t>감정형용사+전치사</t>
  </si>
  <si>
    <t>Unit18</t>
  </si>
  <si>
    <t>감정을 나타낼 때 형용사 뒤에 알맞은 전치사를 써요. proud of, worried about, scared of. 다른 전치사를 쓰면 어색해요. 틀린 예: I am proud for you.</t>
  </si>
  <si>
    <t>감정형용사+알맞은 전치사</t>
  </si>
  <si>
    <t>I am proud of you.;She is worried about the test.</t>
  </si>
  <si>
    <t>I am proud for you.</t>
  </si>
  <si>
    <t>R-28</t>
  </si>
  <si>
    <t>too+형용사</t>
  </si>
  <si>
    <t>정도가 지나칠 때 형용사 앞에 too를 써요. This is too difficult. I am too tired. very와 달리 부정적인 느낌이에요. 틀린 예: This is very too difficult.</t>
  </si>
  <si>
    <t>지나치면 too+형용사</t>
  </si>
  <si>
    <t>This is too difficult.;I am too tired to walk.</t>
  </si>
  <si>
    <t>This is very too difficult.</t>
  </si>
  <si>
    <t>R-29</t>
  </si>
  <si>
    <t>How much·many 의문문</t>
  </si>
  <si>
    <t>Unit19</t>
  </si>
  <si>
    <t>가격을 물을 때 셀 수 있으면 How many, 셀 수 없으면 How much를 써요. How much is this? How many apples do you want? 서로 바꿔 쓰면 안 돼요. 틀린 예: How many is this shirt?</t>
  </si>
  <si>
    <t>가격 How much, 개수 How many</t>
  </si>
  <si>
    <t>How much is this shirt?;How many apples do you want?</t>
  </si>
  <si>
    <t>How many is this shirt?</t>
  </si>
  <si>
    <t>R-30</t>
  </si>
  <si>
    <t>위치전치사 in·on·under</t>
  </si>
  <si>
    <t>Unit20</t>
  </si>
  <si>
    <t>위치를 말할 때 안이면 in, 위면 on, 아래면 under를 써요. The book is on the table. The cat is in the box. 전치사를 바꾸면 뜻이 달라져요. 틀린 예: The book is at the table.</t>
  </si>
  <si>
    <t>안=in, 위=on, 아래=under</t>
  </si>
  <si>
    <t>The book is on the table.;The cat is in the box.</t>
  </si>
  <si>
    <t>The book is at the table.</t>
  </si>
  <si>
    <t>R-31</t>
  </si>
  <si>
    <t>과거시제</t>
  </si>
  <si>
    <t>U3</t>
  </si>
  <si>
    <t>어제(yesterday), 지난주(last week), 아까(ago)처럼 지난 일을 말할 때는 동사를 과거형으로 써요. go는 went, see는 saw, eat는 ate가 돼요. 예: I went to the zoo yesterday. I saw a lion. 틀린 예: I go to the zoo yesterday.</t>
  </si>
  <si>
    <t>과거를 말할 땐 동사를 과거형으로</t>
  </si>
  <si>
    <t>I went to the zoo yesterday.;I saw a lion.</t>
  </si>
  <si>
    <t>I go to the zoo yesterday.</t>
  </si>
  <si>
    <t>샘플 B</t>
  </si>
  <si>
    <t>R-32</t>
  </si>
  <si>
    <t>3인칭단수</t>
  </si>
  <si>
    <t>ALL</t>
  </si>
  <si>
    <t>he, she, it, the lion처럼 한 명이나 한 마리가 주어이고 지금 하는 일이면 동사 끝에 -s를 붙여요. The lion eats meat. She likes rabbits. 나(I)나 너(you), 여러 명(they)은 안 붙여요. 틀린 예: The lion eat meat.</t>
  </si>
  <si>
    <t>he/she/it 주어면 동사에 -s</t>
  </si>
  <si>
    <t>The lion eats meat.;She likes rabbits.</t>
  </si>
  <si>
    <t>The lion eat meat.</t>
  </si>
  <si>
    <t>R-33</t>
  </si>
  <si>
    <t>명사복수형</t>
  </si>
  <si>
    <t>두 개 이상이면 단어 끝에 -s를 붙여요. two cats, three dogs. 숫자나 many가 앞에 오면 복수예요. 틀린 예: I have two cat.</t>
  </si>
  <si>
    <t>둘 이상이면 -s</t>
  </si>
  <si>
    <t>I have two cats.;There are many monkeys.</t>
  </si>
  <si>
    <t>I have two cat.</t>
  </si>
  <si>
    <t>R-34</t>
  </si>
  <si>
    <t>관사</t>
  </si>
  <si>
    <t>a, e, i, o, u 소리로 시작하는 단어 앞에는 a 대신 an을 써요. an elephant, an apple, an hour. 글자가 아니라 소리예요. 틀린 예: I saw a elephant.</t>
  </si>
  <si>
    <t>모음 소리 앞엔 an</t>
  </si>
  <si>
    <t>I saw an elephant.;I ate an apple.</t>
  </si>
  <si>
    <t>I saw a elephant.</t>
  </si>
  <si>
    <t>R-35</t>
  </si>
  <si>
    <t>현재진행형</t>
  </si>
  <si>
    <t>U5</t>
  </si>
  <si>
    <t>지금 하고 있는 일은 be동사(am/is/are) + 동사-ing로 말해요. I am reading a book. They are playing soccer now. be동사만 쓰거나 -ing만 쓰면 안 돼요. 틀린 예: We are play soccer now.</t>
  </si>
  <si>
    <t>지금 하는 일은 be + -ing</t>
  </si>
  <si>
    <t>I am reading a book.;They are playing soccer now.</t>
  </si>
  <si>
    <t>We are play soccer now.</t>
  </si>
  <si>
    <t>R-36</t>
  </si>
  <si>
    <t>be동사일치</t>
  </si>
  <si>
    <t>주어에 따라 be동사가 달라요. I am, you are, he/she/it is, we/they are. 틀린 예: He are my friend. / I is a student.</t>
  </si>
  <si>
    <t>I am · you are · he is</t>
  </si>
  <si>
    <t>He is my friend.;They are students.</t>
  </si>
  <si>
    <t>He are my friend.</t>
  </si>
  <si>
    <t>R-37</t>
  </si>
  <si>
    <t>과거를 말할 때 be동사는 was나 were로 바뀌어요. I was happy. They were at school. am/is는 was, are는 were예요. 틀린 예: I am happy yesterday.</t>
  </si>
  <si>
    <t>과거의 be동사는 was/were</t>
  </si>
  <si>
    <t>I was happy yesterday.;They were at the zoo.</t>
  </si>
  <si>
    <t>I am happy yesterday.</t>
  </si>
  <si>
    <t>R-38</t>
  </si>
  <si>
    <t>셀 수 있는 것 하나를 처음 말할 때는 앞에 a를 붙여요. a banana, a sandwich. 없이 말하면 어색해요. 틀린 예: I want banana.</t>
  </si>
  <si>
    <t>하나면 앞에 a</t>
  </si>
  <si>
    <t>I want a banana.;She has a sandwich.</t>
  </si>
  <si>
    <t>I want banana.</t>
  </si>
  <si>
    <r>
      <rPr>
        <sz val="9"/>
        <color rgb="FF666666"/>
        <rFont val="Arial"/>
        <family val="2"/>
        <charset val="1"/>
      </rPr>
      <t>※ A~G</t>
    </r>
    <r>
      <rPr>
        <sz val="9"/>
        <color rgb="FF666666"/>
        <rFont val="Noto Sans CJK SC"/>
        <family val="2"/>
      </rPr>
      <t xml:space="preserve">열이 </t>
    </r>
    <r>
      <rPr>
        <sz val="9"/>
        <color rgb="FF666666"/>
        <rFont val="Arial"/>
        <family val="2"/>
        <charset val="1"/>
      </rPr>
      <t xml:space="preserve">rules.jsonl </t>
    </r>
    <r>
      <rPr>
        <sz val="9"/>
        <color rgb="FF666666"/>
        <rFont val="Noto Sans CJK SC"/>
        <family val="2"/>
      </rPr>
      <t>납품 컬럼</t>
    </r>
    <r>
      <rPr>
        <sz val="9"/>
        <color rgb="FF666666"/>
        <rFont val="Arial"/>
        <family val="2"/>
        <charset val="1"/>
      </rPr>
      <t xml:space="preserve">. examples </t>
    </r>
    <r>
      <rPr>
        <sz val="9"/>
        <color rgb="FF666666"/>
        <rFont val="Noto Sans CJK SC"/>
        <family val="2"/>
      </rPr>
      <t xml:space="preserve">는 </t>
    </r>
    <r>
      <rPr>
        <sz val="9"/>
        <color rgb="FF666666"/>
        <rFont val="Arial"/>
        <family val="2"/>
        <charset val="1"/>
      </rPr>
      <t xml:space="preserve">; </t>
    </r>
    <r>
      <rPr>
        <sz val="9"/>
        <color rgb="FF666666"/>
        <rFont val="Noto Sans CJK SC"/>
        <family val="2"/>
      </rPr>
      <t>로 구분해 한 칸에 적으면 변환 스크립트가 배열로 만든다</t>
    </r>
    <r>
      <rPr>
        <sz val="9"/>
        <color rgb="FF666666"/>
        <rFont val="Arial"/>
        <family val="2"/>
        <charset val="1"/>
      </rPr>
      <t xml:space="preserve">. </t>
    </r>
    <r>
      <rPr>
        <sz val="9"/>
        <color rgb="FF666666"/>
        <rFont val="Noto Sans CJK SC"/>
        <family val="2"/>
      </rPr>
      <t xml:space="preserve">목표 </t>
    </r>
    <r>
      <rPr>
        <sz val="9"/>
        <color rgb="FF666666"/>
        <rFont val="Arial"/>
        <family val="2"/>
        <charset val="1"/>
      </rPr>
      <t>38</t>
    </r>
    <r>
      <rPr>
        <sz val="9"/>
        <color rgb="FF666666"/>
        <rFont val="Noto Sans CJK SC"/>
        <family val="2"/>
      </rPr>
      <t>개</t>
    </r>
    <r>
      <rPr>
        <sz val="9"/>
        <color rgb="FF666666"/>
        <rFont val="Arial"/>
        <family val="2"/>
        <charset val="1"/>
      </rPr>
      <t>(</t>
    </r>
    <r>
      <rPr>
        <sz val="9"/>
        <color rgb="FF666666"/>
        <rFont val="Noto Sans CJK SC"/>
        <family val="2"/>
      </rPr>
      <t xml:space="preserve">기존 기초 문법 </t>
    </r>
    <r>
      <rPr>
        <sz val="9"/>
        <color rgb="FF666666"/>
        <rFont val="Arial"/>
        <family val="2"/>
        <charset val="1"/>
      </rPr>
      <t>8</t>
    </r>
    <r>
      <rPr>
        <sz val="9"/>
        <color rgb="FF666666"/>
        <rFont val="Noto Sans CJK SC"/>
        <family val="2"/>
      </rPr>
      <t xml:space="preserve">개 </t>
    </r>
    <r>
      <rPr>
        <sz val="9"/>
        <color rgb="FF666666"/>
        <rFont val="Arial"/>
        <family val="2"/>
        <charset val="1"/>
      </rPr>
      <t xml:space="preserve">+ Unit01~20 </t>
    </r>
    <r>
      <rPr>
        <sz val="9"/>
        <color rgb="FF666666"/>
        <rFont val="Noto Sans CJK SC"/>
        <family val="2"/>
      </rPr>
      <t xml:space="preserve">확장 세트 전용 </t>
    </r>
    <r>
      <rPr>
        <sz val="9"/>
        <color rgb="FF666666"/>
        <rFont val="Arial"/>
        <family val="2"/>
        <charset val="1"/>
      </rPr>
      <t>30</t>
    </r>
    <r>
      <rPr>
        <sz val="9"/>
        <color rgb="FF666666"/>
        <rFont val="Noto Sans CJK SC"/>
        <family val="2"/>
      </rPr>
      <t>개</t>
    </r>
    <r>
      <rPr>
        <sz val="9"/>
        <color rgb="FF666666"/>
        <rFont val="Arial"/>
        <family val="2"/>
        <charset val="1"/>
      </rPr>
      <t>). chk_text</t>
    </r>
    <r>
      <rPr>
        <sz val="9"/>
        <color rgb="FF666666"/>
        <rFont val="Noto Sans CJK SC"/>
        <family val="2"/>
      </rPr>
      <t xml:space="preserve">길이는 </t>
    </r>
    <r>
      <rPr>
        <sz val="9"/>
        <color rgb="FF666666"/>
        <rFont val="Arial"/>
        <family val="2"/>
        <charset val="1"/>
      </rPr>
      <t>80~200</t>
    </r>
    <r>
      <rPr>
        <sz val="9"/>
        <color rgb="FF666666"/>
        <rFont val="Noto Sans CJK SC"/>
        <family val="2"/>
      </rPr>
      <t>자를 벗어난 글자 수를 보여준다 — 짧으면 검색이 안 걸리고 길면 조각이 흐려진다</t>
    </r>
    <r>
      <rPr>
        <sz val="9"/>
        <color rgb="FF666666"/>
        <rFont val="Arial"/>
        <family val="2"/>
        <charset val="1"/>
      </rPr>
      <t xml:space="preserve">. chk_unit </t>
    </r>
    <r>
      <rPr>
        <sz val="9"/>
        <color rgb="FF666666"/>
        <rFont val="Noto Sans CJK SC"/>
        <family val="2"/>
      </rPr>
      <t xml:space="preserve">이 뜨는 행은 </t>
    </r>
    <r>
      <rPr>
        <sz val="9"/>
        <color rgb="FF666666"/>
        <rFont val="Arial"/>
        <family val="2"/>
        <charset val="1"/>
      </rPr>
      <t xml:space="preserve">rules </t>
    </r>
    <r>
      <rPr>
        <sz val="9"/>
        <color rgb="FF666666"/>
        <rFont val="Noto Sans CJK SC"/>
        <family val="2"/>
      </rPr>
      <t xml:space="preserve">의 </t>
    </r>
    <r>
      <rPr>
        <sz val="9"/>
        <color rgb="FF666666"/>
        <rFont val="Arial"/>
        <family val="2"/>
        <charset val="1"/>
      </rPr>
      <t xml:space="preserve">unit </t>
    </r>
    <r>
      <rPr>
        <sz val="9"/>
        <color rgb="FF666666"/>
        <rFont val="Noto Sans CJK SC"/>
        <family val="2"/>
      </rPr>
      <t xml:space="preserve">과 </t>
    </r>
    <r>
      <rPr>
        <sz val="9"/>
        <color rgb="FF666666"/>
        <rFont val="Arial"/>
        <family val="2"/>
        <charset val="1"/>
      </rPr>
      <t xml:space="preserve">units.csv </t>
    </r>
    <r>
      <rPr>
        <sz val="9"/>
        <color rgb="FF666666"/>
        <rFont val="Noto Sans CJK SC"/>
        <family val="2"/>
      </rPr>
      <t xml:space="preserve">의 </t>
    </r>
    <r>
      <rPr>
        <sz val="9"/>
        <color rgb="FF666666"/>
        <rFont val="Arial"/>
        <family val="2"/>
        <charset val="1"/>
      </rPr>
      <t xml:space="preserve">rule_ids </t>
    </r>
    <r>
      <rPr>
        <sz val="9"/>
        <color rgb="FF666666"/>
        <rFont val="Noto Sans CJK SC"/>
        <family val="2"/>
      </rPr>
      <t>가 어긋난다는 뜻이다</t>
    </r>
    <r>
      <rPr>
        <sz val="9"/>
        <color rgb="FF666666"/>
        <rFont val="Arial"/>
        <family val="2"/>
        <charset val="1"/>
      </rPr>
      <t>(</t>
    </r>
    <r>
      <rPr>
        <sz val="9"/>
        <color rgb="FF666666"/>
        <rFont val="Noto Sans CJK SC"/>
        <family val="2"/>
      </rPr>
      <t xml:space="preserve">현재 </t>
    </r>
    <r>
      <rPr>
        <sz val="9"/>
        <color rgb="FF666666"/>
        <rFont val="Arial"/>
        <family val="2"/>
        <charset val="1"/>
      </rPr>
      <t>R-33).</t>
    </r>
  </si>
  <si>
    <t>expected_rule_id</t>
  </si>
  <si>
    <t>note</t>
  </si>
  <si>
    <t>작성자</t>
  </si>
  <si>
    <r>
      <rPr>
        <b/>
        <sz val="10"/>
        <color rgb="FFFFFFFF"/>
        <rFont val="Arial"/>
        <family val="2"/>
        <charset val="1"/>
      </rPr>
      <t>chk_rule</t>
    </r>
    <r>
      <rPr>
        <b/>
        <sz val="10"/>
        <color rgb="FFFFFFFF"/>
        <rFont val="Noto Sans CJK SC"/>
        <family val="2"/>
      </rPr>
      <t>존재</t>
    </r>
  </si>
  <si>
    <r>
      <rPr>
        <b/>
        <sz val="10"/>
        <color rgb="FFFFFFFF"/>
        <rFont val="Arial"/>
        <family val="2"/>
        <charset val="1"/>
      </rPr>
      <t>chk_</t>
    </r>
    <r>
      <rPr>
        <b/>
        <sz val="10"/>
        <color rgb="FFFFFFFF"/>
        <rFont val="Noto Sans CJK SC"/>
        <family val="2"/>
      </rPr>
      <t>교재중복</t>
    </r>
  </si>
  <si>
    <t>I play with my dog yesterday.</t>
  </si>
  <si>
    <t>과거시제 · 새 문장 (rules·errors와 겹치지 않음)</t>
  </si>
  <si>
    <t>My sister like cats.</t>
  </si>
  <si>
    <r>
      <rPr>
        <sz val="10"/>
        <rFont val="Arial"/>
        <family val="2"/>
        <charset val="1"/>
      </rPr>
      <t>3</t>
    </r>
    <r>
      <rPr>
        <sz val="10"/>
        <rFont val="Noto Sans CJK SC"/>
        <family val="2"/>
      </rPr>
      <t>인칭단수</t>
    </r>
  </si>
  <si>
    <t>There are three bird in the tree.</t>
  </si>
  <si>
    <t>I ate a orange.</t>
  </si>
  <si>
    <t>관사 an</t>
  </si>
  <si>
    <t>She is eat lunch now.</t>
  </si>
  <si>
    <t>They is my friends.</t>
  </si>
  <si>
    <r>
      <rPr>
        <sz val="10"/>
        <rFont val="Arial"/>
        <family val="2"/>
        <charset val="1"/>
      </rPr>
      <t>be</t>
    </r>
    <r>
      <rPr>
        <sz val="10"/>
        <rFont val="Noto Sans CJK SC"/>
        <family val="2"/>
      </rPr>
      <t>동사일치</t>
    </r>
  </si>
  <si>
    <t>We are at the park yesterday.</t>
  </si>
  <si>
    <t>과거의 be동사</t>
  </si>
  <si>
    <t>I have dog.</t>
  </si>
  <si>
    <t>관사 a</t>
  </si>
  <si>
    <t>I saw a big lion at the zoo.</t>
  </si>
  <si>
    <t>NONE</t>
  </si>
  <si>
    <t>정상 문장 (오탐 측정)</t>
  </si>
  <si>
    <t>She likes bananas.</t>
  </si>
  <si>
    <t>정상 문장</t>
  </si>
  <si>
    <t>He tired after school.</t>
  </si>
  <si>
    <t>형용사+be동사 (be동사 없이 형용사만)</t>
  </si>
  <si>
    <t>AI 생성</t>
  </si>
  <si>
    <t>This is Sam brother.</t>
  </si>
  <si>
    <t>소유격 's 빠짐</t>
  </si>
  <si>
    <t>There is many pencils in the box.</t>
  </si>
  <si>
    <t>There is/are 반대로 사용</t>
  </si>
  <si>
    <t>He can plays basketball every day.</t>
  </si>
  <si>
    <t>can 뒤에 동사원형이 아닌 3인칭단수형</t>
  </si>
  <si>
    <t>I drank many water.</t>
  </si>
  <si>
    <t>셀 수 없는 명사에 many</t>
  </si>
  <si>
    <t>I have a apple red.</t>
  </si>
  <si>
    <t>형용사가 명사 뒤에 옴</t>
  </si>
  <si>
    <t>He was second to arrive.</t>
  </si>
  <si>
    <t>서수 앞에 the 빠짐</t>
  </si>
  <si>
    <t>It will snows tomorrow.</t>
  </si>
  <si>
    <t>will 뒤에 동사원형이 아닌 3인칭단수형</t>
  </si>
  <si>
    <t>She wear a blue coat now.</t>
  </si>
  <si>
    <t>지금 입고 있다인데 진행형이 아님</t>
  </si>
  <si>
    <t>He likes play basketball.</t>
  </si>
  <si>
    <t>like 뒤에 동사원형(동명사 아님)</t>
  </si>
  <si>
    <t>My swimming class is in thursday.</t>
  </si>
  <si>
    <t>요일 앞 전치사 in + 소문자</t>
  </si>
  <si>
    <t>She goes home by a taxi.</t>
  </si>
  <si>
    <t>by+교통수단에 불필요한 관사</t>
  </si>
  <si>
    <t>He wants to be pilot.</t>
  </si>
  <si>
    <t>want to be 뒤에 관사 빠짐</t>
  </si>
  <si>
    <t>He is worried of his dog.</t>
  </si>
  <si>
    <t>감정형용사에 맞지 않는 전치사</t>
  </si>
  <si>
    <t>How many is this hat?</t>
  </si>
  <si>
    <t>가격을 물을 때 How much를 써야 함</t>
  </si>
  <si>
    <t>These is my cousins.</t>
  </si>
  <si>
    <t>여럿인데 This·is 사용</t>
  </si>
  <si>
    <t>The ball is at the table.</t>
  </si>
  <si>
    <t>위치전치사 on 대신 at 사용</t>
  </si>
  <si>
    <t>My brother plays soccer every weekend.</t>
  </si>
  <si>
    <t>The weather is nice today.</t>
  </si>
  <si>
    <t>They visited their grandmother last month.</t>
  </si>
  <si>
    <t>정상 문장 (과거시제 정상 사용)</t>
  </si>
  <si>
    <t>Hi Jane</t>
  </si>
  <si>
    <t>인사말 뒤 쉼표·느낌표 빠짐</t>
  </si>
  <si>
    <t>She a letter writes.</t>
  </si>
  <si>
    <t>목적어가 동사 앞에 옴</t>
  </si>
  <si>
    <t>These book are new.</t>
  </si>
  <si>
    <t>These+단수명사</t>
  </si>
  <si>
    <t>I want to noodle.</t>
  </si>
  <si>
    <t>want 뒤에 불필요한 to</t>
  </si>
  <si>
    <t>I have three book.</t>
  </si>
  <si>
    <t>숫자 2 이상인데 단수명사</t>
  </si>
  <si>
    <t>That is rainy today.</t>
  </si>
  <si>
    <t>날씨에 That 사용</t>
  </si>
  <si>
    <t>We swim at summer.</t>
  </si>
  <si>
    <t>계절 앞 전치사 at 사용</t>
  </si>
  <si>
    <t>I hurt arm.</t>
  </si>
  <si>
    <t>신체부위 앞 소유격 빠짐</t>
  </si>
  <si>
    <t>She enjoys to read.</t>
  </si>
  <si>
    <t>enjoy 뒤에 to+동사원형</t>
  </si>
  <si>
    <t>She goes always to the park.</t>
  </si>
  <si>
    <t>빈도부사가 동사 뒤</t>
  </si>
  <si>
    <t>They go to market every week.</t>
  </si>
  <si>
    <t>장소 앞 the 빠짐</t>
  </si>
  <si>
    <t>My mom is nurse.</t>
  </si>
  <si>
    <t>직업 앞 관사 빠짐</t>
  </si>
  <si>
    <t>This box is very too heavy.</t>
  </si>
  <si>
    <t>very와 too 중복 사용</t>
  </si>
  <si>
    <t>He hungry now.</t>
  </si>
  <si>
    <t>형용사+be동사, 새 문장</t>
  </si>
  <si>
    <t>That is my dog toy.</t>
  </si>
  <si>
    <t>소유격 's 빠짐, 새 문장</t>
  </si>
  <si>
    <t>This are my grandparents.</t>
  </si>
  <si>
    <t>여럿인데 This·are 사용</t>
  </si>
  <si>
    <t>There are a cat under the table.</t>
  </si>
  <si>
    <t>하나인데 There are 사용</t>
  </si>
  <si>
    <t>Birds can flying.</t>
  </si>
  <si>
    <t>can 뒤에 -ing</t>
  </si>
  <si>
    <t>She wants many bread.</t>
  </si>
  <si>
    <t>셀 수 없는 명사에 many, 새 문장</t>
  </si>
  <si>
    <t>I saw a house big.</t>
  </si>
  <si>
    <t>형용사가 명사 뒤에 옴, 새 문장</t>
  </si>
  <si>
    <t>He was first in line.</t>
  </si>
  <si>
    <t>서수 앞 the 빠짐, 새 문장</t>
  </si>
  <si>
    <t>They will comes tomorrow.</t>
  </si>
  <si>
    <t>will 뒤에 3인칭단수형</t>
  </si>
  <si>
    <t>He wear his shoes now.</t>
  </si>
  <si>
    <t>지금 신고 있는데 진행형 아님</t>
  </si>
  <si>
    <t>She likes to swim.</t>
  </si>
  <si>
    <t>like 뒤에 to+동사원형</t>
  </si>
  <si>
    <t>We rest on sunday.</t>
  </si>
  <si>
    <t>요일 소문자</t>
  </si>
  <si>
    <t>He goes to work by a bike.</t>
  </si>
  <si>
    <t>by+교통수단에 불필요한 관사, 새 문장</t>
  </si>
  <si>
    <t>She wants to be nurse.</t>
  </si>
  <si>
    <t>want to be 뒤 관사 빠짐, 새 문장</t>
  </si>
  <si>
    <t>He is scared about the dog.</t>
  </si>
  <si>
    <t>감정형용사에 맞지 않는 전치사, 새 문장</t>
  </si>
  <si>
    <t>How much apples are there?</t>
  </si>
  <si>
    <t>개수를 물을 때 How much 사용</t>
  </si>
  <si>
    <t>The keys are in the table.</t>
  </si>
  <si>
    <t>위치전치사 on 대신 in, 새 문장</t>
  </si>
  <si>
    <t>Good night Tom</t>
  </si>
  <si>
    <t>인사말 뒤 쉼표·느낌표 빠짐, 새 문장</t>
  </si>
  <si>
    <t>He a book reads.</t>
  </si>
  <si>
    <t>목적어가 동사 앞에 옴, 새 문장</t>
  </si>
  <si>
    <t>These apple are fresh.</t>
  </si>
  <si>
    <t>These+단수명사, 새 문장</t>
  </si>
  <si>
    <t>She want to a sandwich.</t>
  </si>
  <si>
    <t>want 뒤에 불필요한 to, 새 문장</t>
  </si>
  <si>
    <t>He has five apple.</t>
  </si>
  <si>
    <t>숫자 2 이상인데 단수명사, 새 문장</t>
  </si>
  <si>
    <t>This is cold in winter.</t>
  </si>
  <si>
    <t>날씨에 This 사용</t>
  </si>
  <si>
    <t>Leaves fall on fall.</t>
  </si>
  <si>
    <t>계절 앞 전치사 on 사용</t>
  </si>
  <si>
    <t>She broke leg.</t>
  </si>
  <si>
    <t>신체부위 앞 소유격 빠짐, 새 문장</t>
  </si>
  <si>
    <t>He enjoys sing.</t>
  </si>
  <si>
    <t>enjoy 뒤에 동사원형</t>
  </si>
  <si>
    <t>He is happy usually.</t>
  </si>
  <si>
    <t>빈도부사가 문장 맨 끝</t>
  </si>
  <si>
    <t>I read books every night.</t>
  </si>
  <si>
    <t>The girls are playing in the park.</t>
  </si>
  <si>
    <r>
      <rPr>
        <sz val="9"/>
        <color rgb="FF666666"/>
        <rFont val="Arial"/>
        <family val="2"/>
        <charset val="1"/>
      </rPr>
      <t>※ A~C</t>
    </r>
    <r>
      <rPr>
        <sz val="9"/>
        <color rgb="FF666666"/>
        <rFont val="Noto Sans CJK SC"/>
        <family val="2"/>
      </rPr>
      <t xml:space="preserve">열이 </t>
    </r>
    <r>
      <rPr>
        <sz val="9"/>
        <color rgb="FF666666"/>
        <rFont val="Arial"/>
        <family val="2"/>
        <charset val="1"/>
      </rPr>
      <t xml:space="preserve">eval.csv </t>
    </r>
    <r>
      <rPr>
        <sz val="9"/>
        <color rgb="FF666666"/>
        <rFont val="Noto Sans CJK SC"/>
        <family val="2"/>
      </rPr>
      <t>납품 컬럼</t>
    </r>
    <r>
      <rPr>
        <sz val="9"/>
        <color rgb="FF666666"/>
        <rFont val="Arial"/>
        <family val="2"/>
        <charset val="1"/>
      </rPr>
      <t xml:space="preserve">. </t>
    </r>
    <r>
      <rPr>
        <sz val="9"/>
        <color rgb="FF666666"/>
        <rFont val="Noto Sans CJK SC"/>
        <family val="2"/>
      </rPr>
      <t xml:space="preserve">목표 </t>
    </r>
    <r>
      <rPr>
        <sz val="9"/>
        <color rgb="FF666666"/>
        <rFont val="Arial"/>
        <family val="2"/>
        <charset val="1"/>
      </rPr>
      <t>70</t>
    </r>
    <r>
      <rPr>
        <sz val="9"/>
        <color rgb="FF666666"/>
        <rFont val="Noto Sans CJK SC"/>
        <family val="2"/>
      </rPr>
      <t xml:space="preserve">문항 이상 </t>
    </r>
    <r>
      <rPr>
        <sz val="9"/>
        <color rgb="FF666666"/>
        <rFont val="Arial"/>
        <family val="2"/>
        <charset val="1"/>
      </rPr>
      <t>(</t>
    </r>
    <r>
      <rPr>
        <sz val="9"/>
        <color rgb="FF666666"/>
        <rFont val="Noto Sans CJK SC"/>
        <family val="2"/>
      </rPr>
      <t xml:space="preserve">현재 </t>
    </r>
    <r>
      <rPr>
        <sz val="9"/>
        <color rgb="FF666666"/>
        <rFont val="Arial"/>
        <family val="2"/>
        <charset val="1"/>
      </rPr>
      <t>72</t>
    </r>
    <r>
      <rPr>
        <sz val="9"/>
        <color rgb="FF666666"/>
        <rFont val="Noto Sans CJK SC"/>
        <family val="2"/>
      </rPr>
      <t>문항</t>
    </r>
    <r>
      <rPr>
        <sz val="9"/>
        <color rgb="FF666666"/>
        <rFont val="Arial"/>
        <family val="2"/>
        <charset val="1"/>
      </rPr>
      <t>)</t>
    </r>
    <r>
      <rPr>
        <sz val="9"/>
        <color rgb="FF666666"/>
        <rFont val="Noto Sans CJK SC"/>
        <family val="2"/>
      </rPr>
      <t xml:space="preserve">이며 그중 </t>
    </r>
    <r>
      <rPr>
        <sz val="9"/>
        <color rgb="FF666666"/>
        <rFont val="Arial"/>
        <family val="2"/>
        <charset val="1"/>
      </rPr>
      <t>5</t>
    </r>
    <r>
      <rPr>
        <sz val="9"/>
        <color rgb="FF666666"/>
        <rFont val="Noto Sans CJK SC"/>
        <family val="2"/>
      </rPr>
      <t xml:space="preserve">개는 </t>
    </r>
    <r>
      <rPr>
        <sz val="9"/>
        <color rgb="FF666666"/>
        <rFont val="Arial"/>
        <family val="2"/>
        <charset val="1"/>
      </rPr>
      <t xml:space="preserve">expected_rule_id </t>
    </r>
    <r>
      <rPr>
        <sz val="9"/>
        <color rgb="FF666666"/>
        <rFont val="Noto Sans CJK SC"/>
        <family val="2"/>
      </rPr>
      <t xml:space="preserve">를 </t>
    </r>
    <r>
      <rPr>
        <sz val="9"/>
        <color rgb="FF666666"/>
        <rFont val="Arial"/>
        <family val="2"/>
        <charset val="1"/>
      </rPr>
      <t xml:space="preserve">NONE </t>
    </r>
    <r>
      <rPr>
        <sz val="9"/>
        <color rgb="FF666666"/>
        <rFont val="Noto Sans CJK SC"/>
        <family val="2"/>
      </rPr>
      <t xml:space="preserve">으로 둔 정상 문장이다 </t>
    </r>
    <r>
      <rPr>
        <sz val="9"/>
        <color rgb="FF666666"/>
        <rFont val="Arial"/>
        <family val="2"/>
        <charset val="1"/>
      </rPr>
      <t>(</t>
    </r>
    <r>
      <rPr>
        <sz val="9"/>
        <color rgb="FF666666"/>
        <rFont val="Noto Sans CJK SC"/>
        <family val="2"/>
      </rPr>
      <t>틀린 데가 없는데 규칙을 찾아내는 오탐을 잡기 위한 문항</t>
    </r>
    <r>
      <rPr>
        <sz val="9"/>
        <color rgb="FF666666"/>
        <rFont val="Arial"/>
        <family val="2"/>
        <charset val="1"/>
      </rPr>
      <t>). chk_</t>
    </r>
    <r>
      <rPr>
        <sz val="9"/>
        <color rgb="FF666666"/>
        <rFont val="Noto Sans CJK SC"/>
        <family val="2"/>
      </rPr>
      <t xml:space="preserve">교재중복 은 </t>
    </r>
    <r>
      <rPr>
        <sz val="9"/>
        <color rgb="FF666666"/>
        <rFont val="Arial"/>
        <family val="2"/>
        <charset val="1"/>
      </rPr>
      <t xml:space="preserve">README </t>
    </r>
    <r>
      <rPr>
        <sz val="9"/>
        <color rgb="FF666666"/>
        <rFont val="Noto Sans CJK SC"/>
        <family val="2"/>
      </rPr>
      <t xml:space="preserve">의 핵심 규칙을 검사한다 — </t>
    </r>
    <r>
      <rPr>
        <sz val="9"/>
        <color rgb="FF666666"/>
        <rFont val="Arial"/>
        <family val="2"/>
        <charset val="1"/>
      </rPr>
      <t xml:space="preserve">eval </t>
    </r>
    <r>
      <rPr>
        <sz val="9"/>
        <color rgb="FF666666"/>
        <rFont val="Noto Sans CJK SC"/>
        <family val="2"/>
      </rPr>
      <t xml:space="preserve">의 </t>
    </r>
    <r>
      <rPr>
        <sz val="9"/>
        <color rgb="FF666666"/>
        <rFont val="Arial"/>
        <family val="2"/>
        <charset val="1"/>
      </rPr>
      <t xml:space="preserve">text </t>
    </r>
    <r>
      <rPr>
        <sz val="9"/>
        <color rgb="FF666666"/>
        <rFont val="Noto Sans CJK SC"/>
        <family val="2"/>
      </rPr>
      <t xml:space="preserve">가 </t>
    </r>
    <r>
      <rPr>
        <sz val="9"/>
        <color rgb="FF666666"/>
        <rFont val="Arial"/>
        <family val="2"/>
        <charset val="1"/>
      </rPr>
      <t xml:space="preserve">rules </t>
    </r>
    <r>
      <rPr>
        <sz val="9"/>
        <color rgb="FF666666"/>
        <rFont val="Noto Sans CJK SC"/>
        <family val="2"/>
      </rPr>
      <t xml:space="preserve">의 </t>
    </r>
    <r>
      <rPr>
        <sz val="9"/>
        <color rgb="FF666666"/>
        <rFont val="Arial"/>
        <family val="2"/>
        <charset val="1"/>
      </rPr>
      <t xml:space="preserve">wrong_example </t>
    </r>
    <r>
      <rPr>
        <sz val="9"/>
        <color rgb="FF666666"/>
        <rFont val="Noto Sans CJK SC"/>
        <family val="2"/>
      </rPr>
      <t xml:space="preserve">이나 </t>
    </r>
    <r>
      <rPr>
        <sz val="9"/>
        <color rgb="FF666666"/>
        <rFont val="Arial"/>
        <family val="2"/>
        <charset val="1"/>
      </rPr>
      <t xml:space="preserve">errors </t>
    </r>
    <r>
      <rPr>
        <sz val="9"/>
        <color rgb="FF666666"/>
        <rFont val="Noto Sans CJK SC"/>
        <family val="2"/>
      </rPr>
      <t xml:space="preserve">의 </t>
    </r>
    <r>
      <rPr>
        <sz val="9"/>
        <color rgb="FF666666"/>
        <rFont val="Arial"/>
        <family val="2"/>
        <charset val="1"/>
      </rPr>
      <t xml:space="preserve">error </t>
    </r>
    <r>
      <rPr>
        <sz val="9"/>
        <color rgb="FF666666"/>
        <rFont val="Noto Sans CJK SC"/>
        <family val="2"/>
      </rPr>
      <t>와 글자 그대로 같으면 그 문항은 실력이 아니라 암기를 측정하게 된다</t>
    </r>
    <r>
      <rPr>
        <sz val="9"/>
        <color rgb="FF666666"/>
        <rFont val="Arial"/>
        <family val="2"/>
        <charset val="1"/>
      </rPr>
      <t xml:space="preserve">. </t>
    </r>
    <r>
      <rPr>
        <sz val="9"/>
        <color rgb="FF666666"/>
        <rFont val="Noto Sans CJK SC"/>
        <family val="2"/>
      </rPr>
      <t>걸리면 문장을 새로 지어야 한다</t>
    </r>
    <r>
      <rPr>
        <sz val="9"/>
        <color rgb="FF666666"/>
        <rFont val="Arial"/>
        <family val="2"/>
        <charset val="1"/>
      </rPr>
      <t>.</t>
    </r>
  </si>
  <si>
    <t>level</t>
  </si>
  <si>
    <t>title</t>
  </si>
  <si>
    <t>mission</t>
  </si>
  <si>
    <r>
      <rPr>
        <b/>
        <sz val="10"/>
        <color rgb="FFFFFFFF"/>
        <rFont val="Arial"/>
        <family val="2"/>
        <charset val="1"/>
      </rPr>
      <t>hint_words (;</t>
    </r>
    <r>
      <rPr>
        <b/>
        <sz val="10"/>
        <color rgb="FFFFFFFF"/>
        <rFont val="Noto Sans CJK SC"/>
        <family val="2"/>
      </rPr>
      <t>구분</t>
    </r>
    <r>
      <rPr>
        <b/>
        <sz val="10"/>
        <color rgb="FFFFFFFF"/>
        <rFont val="Arial"/>
        <family val="2"/>
        <charset val="1"/>
      </rPr>
      <t>)</t>
    </r>
  </si>
  <si>
    <r>
      <rPr>
        <b/>
        <sz val="10"/>
        <color rgb="FFFFFFFF"/>
        <rFont val="Arial"/>
        <family val="2"/>
        <charset val="1"/>
      </rPr>
      <t>rule_ids (;</t>
    </r>
    <r>
      <rPr>
        <b/>
        <sz val="10"/>
        <color rgb="FFFFFFFF"/>
        <rFont val="Noto Sans CJK SC"/>
        <family val="2"/>
      </rPr>
      <t>구분</t>
    </r>
    <r>
      <rPr>
        <b/>
        <sz val="10"/>
        <color rgb="FFFFFFFF"/>
        <rFont val="Arial"/>
        <family val="2"/>
        <charset val="1"/>
      </rPr>
      <t>)</t>
    </r>
  </si>
  <si>
    <r>
      <rPr>
        <sz val="10"/>
        <rFont val="Arial"/>
        <family val="2"/>
        <charset val="1"/>
      </rPr>
      <t>Greetings (</t>
    </r>
    <r>
      <rPr>
        <sz val="10"/>
        <rFont val="Noto Sans CJK SC"/>
        <family val="2"/>
      </rPr>
      <t>인사</t>
    </r>
    <r>
      <rPr>
        <sz val="10"/>
        <rFont val="Arial"/>
        <family val="2"/>
        <charset val="1"/>
      </rPr>
      <t>)</t>
    </r>
  </si>
  <si>
    <t>친구를 만나거나 헤어질 때 하는 인사말을 영어로 말해봐요</t>
  </si>
  <si>
    <t>hello;hi;bye;morning;night</t>
  </si>
  <si>
    <t>R-32;R-38;R-01;R-02</t>
  </si>
  <si>
    <t>400단어 세트(주제 20개, 학년 혼합 3~6, 세부 학년은 05_words.level 참고)</t>
  </si>
  <si>
    <r>
      <rPr>
        <sz val="10"/>
        <rFont val="Arial"/>
        <family val="2"/>
        <charset val="1"/>
      </rPr>
      <t>Family (</t>
    </r>
    <r>
      <rPr>
        <sz val="10"/>
        <rFont val="Noto Sans CJK SC"/>
        <family val="2"/>
      </rPr>
      <t>가족</t>
    </r>
    <r>
      <rPr>
        <sz val="10"/>
        <rFont val="Arial"/>
        <family val="2"/>
        <charset val="1"/>
      </rPr>
      <t>)</t>
    </r>
  </si>
  <si>
    <t>우리 가족을 영어로 소개해봐요</t>
  </si>
  <si>
    <t>mom;dad;sister;brother;baby</t>
  </si>
  <si>
    <t>R-34;R-38;R-03;R-04</t>
  </si>
  <si>
    <r>
      <rPr>
        <sz val="10"/>
        <rFont val="Arial"/>
        <family val="2"/>
        <charset val="1"/>
      </rPr>
      <t>School (</t>
    </r>
    <r>
      <rPr>
        <sz val="10"/>
        <rFont val="Noto Sans CJK SC"/>
        <family val="2"/>
      </rPr>
      <t>학교</t>
    </r>
    <r>
      <rPr>
        <sz val="10"/>
        <rFont val="Arial"/>
        <family val="2"/>
        <charset val="1"/>
      </rPr>
      <t>)</t>
    </r>
  </si>
  <si>
    <t>학교에서 쓰는 물건과 사람을 영어로 말해봐요</t>
  </si>
  <si>
    <t>book;pencil;desk;chair;teacher</t>
  </si>
  <si>
    <t>R-34;R-38;R-05;R-06</t>
  </si>
  <si>
    <r>
      <rPr>
        <sz val="10"/>
        <rFont val="Arial"/>
        <family val="2"/>
        <charset val="1"/>
      </rPr>
      <t>Animals (</t>
    </r>
    <r>
      <rPr>
        <sz val="10"/>
        <rFont val="Noto Sans CJK SC"/>
        <family val="2"/>
      </rPr>
      <t>동물</t>
    </r>
    <r>
      <rPr>
        <sz val="10"/>
        <rFont val="Arial"/>
        <family val="2"/>
        <charset val="1"/>
      </rPr>
      <t>)</t>
    </r>
  </si>
  <si>
    <t>동물원이나 주변에서 본 동물을 영어로 말해봐요</t>
  </si>
  <si>
    <t>dog;cat;bird;fish;rabbit</t>
  </si>
  <si>
    <t>R-34;R-38;R-01;R-07;R-08</t>
  </si>
  <si>
    <r>
      <rPr>
        <sz val="10"/>
        <rFont val="Arial"/>
        <family val="2"/>
        <charset val="1"/>
      </rPr>
      <t>Food (</t>
    </r>
    <r>
      <rPr>
        <sz val="10"/>
        <rFont val="Noto Sans CJK SC"/>
        <family val="2"/>
      </rPr>
      <t>음식</t>
    </r>
    <r>
      <rPr>
        <sz val="10"/>
        <rFont val="Arial"/>
        <family val="2"/>
        <charset val="1"/>
      </rPr>
      <t>)</t>
    </r>
  </si>
  <si>
    <t>좋아하는 음식을 영어로 말해봐요</t>
  </si>
  <si>
    <t>apple;milk;bread;rice;egg</t>
  </si>
  <si>
    <t>R-34;R-38;R-09;R-10</t>
  </si>
  <si>
    <r>
      <rPr>
        <sz val="10"/>
        <rFont val="Arial"/>
        <family val="2"/>
        <charset val="1"/>
      </rPr>
      <t>Colors (</t>
    </r>
    <r>
      <rPr>
        <sz val="10"/>
        <rFont val="Noto Sans CJK SC"/>
        <family val="2"/>
      </rPr>
      <t>색깔</t>
    </r>
    <r>
      <rPr>
        <sz val="10"/>
        <rFont val="Arial"/>
        <family val="2"/>
        <charset val="1"/>
      </rPr>
      <t>)</t>
    </r>
  </si>
  <si>
    <t>좋아하는 색깔을 영어로 말해봐요</t>
  </si>
  <si>
    <t>red;blue;yellow;green;white</t>
  </si>
  <si>
    <t>R-32;R-38;R-01;R-11</t>
  </si>
  <si>
    <r>
      <rPr>
        <sz val="10"/>
        <rFont val="Arial"/>
        <family val="2"/>
        <charset val="1"/>
      </rPr>
      <t>Numbers (</t>
    </r>
    <r>
      <rPr>
        <sz val="10"/>
        <rFont val="Noto Sans CJK SC"/>
        <family val="2"/>
      </rPr>
      <t>숫자</t>
    </r>
    <r>
      <rPr>
        <sz val="10"/>
        <rFont val="Arial"/>
        <family val="2"/>
        <charset val="1"/>
      </rPr>
      <t>)</t>
    </r>
  </si>
  <si>
    <t>숫자를 넣어 영어로 문장을 말해봐요</t>
  </si>
  <si>
    <t>one;two;three;four;five</t>
  </si>
  <si>
    <t>R-38;R-12;R-13</t>
  </si>
  <si>
    <r>
      <rPr>
        <sz val="10"/>
        <rFont val="Arial"/>
        <family val="2"/>
        <charset val="1"/>
      </rPr>
      <t>Weather (</t>
    </r>
    <r>
      <rPr>
        <sz val="10"/>
        <rFont val="Noto Sans CJK SC"/>
        <family val="2"/>
      </rPr>
      <t>날씨</t>
    </r>
    <r>
      <rPr>
        <sz val="10"/>
        <rFont val="Arial"/>
        <family val="2"/>
        <charset val="1"/>
      </rPr>
      <t>)</t>
    </r>
  </si>
  <si>
    <t>오늘 날씨를 영어로 말해봐요</t>
  </si>
  <si>
    <t>sunny;rainy;cloudy;hot;cold</t>
  </si>
  <si>
    <t>R-38;R-01;R-09;R-14;R-15</t>
  </si>
  <si>
    <r>
      <rPr>
        <sz val="10"/>
        <rFont val="Arial"/>
        <family val="2"/>
        <charset val="1"/>
      </rPr>
      <t>Seasons (</t>
    </r>
    <r>
      <rPr>
        <sz val="10"/>
        <rFont val="Noto Sans CJK SC"/>
        <family val="2"/>
      </rPr>
      <t>계절</t>
    </r>
    <r>
      <rPr>
        <sz val="10"/>
        <rFont val="Arial"/>
        <family val="2"/>
        <charset val="1"/>
      </rPr>
      <t>)</t>
    </r>
  </si>
  <si>
    <t>좋아하는 계절과 그 특징을 영어로 말해봐요</t>
  </si>
  <si>
    <t>spring;summer;fall;winter;season</t>
  </si>
  <si>
    <t>R-32;R-34;R-38;R-01;R-16</t>
  </si>
  <si>
    <r>
      <rPr>
        <sz val="10"/>
        <rFont val="Arial"/>
        <family val="2"/>
        <charset val="1"/>
      </rPr>
      <t>Clothes (</t>
    </r>
    <r>
      <rPr>
        <sz val="10"/>
        <rFont val="Noto Sans CJK SC"/>
        <family val="2"/>
      </rPr>
      <t>옷</t>
    </r>
    <r>
      <rPr>
        <sz val="10"/>
        <rFont val="Arial"/>
        <family val="2"/>
        <charset val="1"/>
      </rPr>
      <t>)</t>
    </r>
  </si>
  <si>
    <t>오늘 입은 옷을 영어로 말해봐요</t>
  </si>
  <si>
    <t>shirt;pants;shoes;hat;socks</t>
  </si>
  <si>
    <t>R-34;R-36;R-38;R-17</t>
  </si>
  <si>
    <r>
      <rPr>
        <sz val="10"/>
        <rFont val="Arial"/>
        <family val="2"/>
        <charset val="1"/>
      </rPr>
      <t>Body (</t>
    </r>
    <r>
      <rPr>
        <sz val="10"/>
        <rFont val="Noto Sans CJK SC"/>
        <family val="2"/>
      </rPr>
      <t>신체</t>
    </r>
    <r>
      <rPr>
        <sz val="10"/>
        <rFont val="Arial"/>
        <family val="2"/>
        <charset val="1"/>
      </rPr>
      <t>)</t>
    </r>
  </si>
  <si>
    <t>내 몸의 부분을 가리키며 영어로 말해봐요</t>
  </si>
  <si>
    <t>head;hand;foot;eye;ear</t>
  </si>
  <si>
    <t>R-34;R-38;R-18</t>
  </si>
  <si>
    <r>
      <rPr>
        <sz val="10"/>
        <rFont val="Arial"/>
        <family val="2"/>
        <charset val="1"/>
      </rPr>
      <t>Sports (</t>
    </r>
    <r>
      <rPr>
        <sz val="10"/>
        <rFont val="Noto Sans CJK SC"/>
        <family val="2"/>
      </rPr>
      <t>운동</t>
    </r>
    <r>
      <rPr>
        <sz val="10"/>
        <rFont val="Arial"/>
        <family val="2"/>
        <charset val="1"/>
      </rPr>
      <t>)</t>
    </r>
  </si>
  <si>
    <t>좋아하는 운동을 영어로 말해봐요</t>
  </si>
  <si>
    <t>run;jump;swim;ball;soccer</t>
  </si>
  <si>
    <t>R-32;R-34;R-38;R-09;R-19</t>
  </si>
  <si>
    <r>
      <rPr>
        <sz val="10"/>
        <rFont val="Arial"/>
        <family val="2"/>
        <charset val="1"/>
      </rPr>
      <t>Hobbies (</t>
    </r>
    <r>
      <rPr>
        <sz val="10"/>
        <rFont val="Noto Sans CJK SC"/>
        <family val="2"/>
      </rPr>
      <t>취미</t>
    </r>
    <r>
      <rPr>
        <sz val="10"/>
        <rFont val="Arial"/>
        <family val="2"/>
        <charset val="1"/>
      </rPr>
      <t>)</t>
    </r>
  </si>
  <si>
    <t>내 취미를 영어로 소개해봐요</t>
  </si>
  <si>
    <t>draw;sing;dance;read;play</t>
  </si>
  <si>
    <t>R-34;R-38;R-09;R-20</t>
  </si>
  <si>
    <r>
      <rPr>
        <sz val="10"/>
        <rFont val="Arial"/>
        <family val="2"/>
        <charset val="1"/>
      </rPr>
      <t>Time &amp; Days (</t>
    </r>
    <r>
      <rPr>
        <sz val="10"/>
        <rFont val="Noto Sans CJK SC"/>
        <family val="2"/>
      </rPr>
      <t>시간</t>
    </r>
    <r>
      <rPr>
        <sz val="10"/>
        <rFont val="Arial"/>
        <family val="2"/>
        <charset val="1"/>
      </rPr>
      <t>·</t>
    </r>
    <r>
      <rPr>
        <sz val="10"/>
        <rFont val="Noto Sans CJK SC"/>
        <family val="2"/>
      </rPr>
      <t>요일</t>
    </r>
    <r>
      <rPr>
        <sz val="10"/>
        <rFont val="Arial"/>
        <family val="2"/>
        <charset val="1"/>
      </rPr>
      <t>)</t>
    </r>
  </si>
  <si>
    <t>오늘이 무슨 요일인지, 시간 표현을 영어로 말해봐요</t>
  </si>
  <si>
    <t>Monday;Tuesday;today;tomorrow;yesterday</t>
  </si>
  <si>
    <t>R-34;R-37;R-38;R-01;R-12;R-15;R-21;R-22</t>
  </si>
  <si>
    <r>
      <rPr>
        <sz val="10"/>
        <rFont val="Arial"/>
        <family val="2"/>
        <charset val="1"/>
      </rPr>
      <t>Transportation (</t>
    </r>
    <r>
      <rPr>
        <sz val="10"/>
        <rFont val="Noto Sans CJK SC"/>
        <family val="2"/>
      </rPr>
      <t>교통수단</t>
    </r>
    <r>
      <rPr>
        <sz val="10"/>
        <rFont val="Arial"/>
        <family val="2"/>
        <charset val="1"/>
      </rPr>
      <t>)</t>
    </r>
  </si>
  <si>
    <t>학교에 어떻게 가는지 영어로 말해봐요</t>
  </si>
  <si>
    <t>car;bus;bike;train;taxi</t>
  </si>
  <si>
    <t>R-32;R-38;R-09;R-23</t>
  </si>
  <si>
    <r>
      <rPr>
        <sz val="10"/>
        <rFont val="Arial"/>
        <family val="2"/>
        <charset val="1"/>
      </rPr>
      <t>Places in Town (</t>
    </r>
    <r>
      <rPr>
        <sz val="10"/>
        <rFont val="Noto Sans CJK SC"/>
        <family val="2"/>
      </rPr>
      <t>동네 장소</t>
    </r>
    <r>
      <rPr>
        <sz val="10"/>
        <rFont val="Arial"/>
        <family val="2"/>
        <charset val="1"/>
      </rPr>
      <t>)</t>
    </r>
  </si>
  <si>
    <t>우리 동네에 있는 장소를 영어로 말해봐요</t>
  </si>
  <si>
    <t>home;park;store;playground;zoo</t>
  </si>
  <si>
    <t>R-38;R-01;R-24</t>
  </si>
  <si>
    <r>
      <rPr>
        <sz val="10"/>
        <rFont val="Arial"/>
        <family val="2"/>
        <charset val="1"/>
      </rPr>
      <t>Jobs (</t>
    </r>
    <r>
      <rPr>
        <sz val="10"/>
        <rFont val="Noto Sans CJK SC"/>
        <family val="2"/>
      </rPr>
      <t>직업</t>
    </r>
    <r>
      <rPr>
        <sz val="10"/>
        <rFont val="Arial"/>
        <family val="2"/>
        <charset val="1"/>
      </rPr>
      <t>)</t>
    </r>
  </si>
  <si>
    <t>커서 되고 싶은 직업을 영어로 말해봐요</t>
  </si>
  <si>
    <t>doctor;nurse;farmer;cook;police officer</t>
  </si>
  <si>
    <t>R-34;R-38;R-25;R-26</t>
  </si>
  <si>
    <r>
      <rPr>
        <sz val="10"/>
        <rFont val="Arial"/>
        <family val="2"/>
        <charset val="1"/>
      </rPr>
      <t>Feelings (</t>
    </r>
    <r>
      <rPr>
        <sz val="10"/>
        <rFont val="Noto Sans CJK SC"/>
        <family val="2"/>
      </rPr>
      <t>감정</t>
    </r>
    <r>
      <rPr>
        <sz val="10"/>
        <rFont val="Arial"/>
        <family val="2"/>
        <charset val="1"/>
      </rPr>
      <t>)</t>
    </r>
  </si>
  <si>
    <t>지금 내 기분을 영어로 말해봐요</t>
  </si>
  <si>
    <t>happy;sad;angry;tired;hungry</t>
  </si>
  <si>
    <t>R-34;R-01;R-27;R-28</t>
  </si>
  <si>
    <r>
      <rPr>
        <sz val="10"/>
        <rFont val="Arial"/>
        <family val="2"/>
        <charset val="1"/>
      </rPr>
      <t>Shopping (</t>
    </r>
    <r>
      <rPr>
        <sz val="10"/>
        <rFont val="Noto Sans CJK SC"/>
        <family val="2"/>
      </rPr>
      <t>쇼핑</t>
    </r>
    <r>
      <rPr>
        <sz val="10"/>
        <rFont val="Arial"/>
        <family val="2"/>
        <charset val="1"/>
      </rPr>
      <t>)</t>
    </r>
  </si>
  <si>
    <t>가게에서 물건을 사는 상황을 영어로 말해봐요</t>
  </si>
  <si>
    <t>buy;sell;money;price;shop</t>
  </si>
  <si>
    <t>R-32;R-34;R-38;R-09;R-19;R-29</t>
  </si>
  <si>
    <r>
      <rPr>
        <sz val="10"/>
        <rFont val="Arial"/>
        <family val="2"/>
        <charset val="1"/>
      </rPr>
      <t>House &amp; Furniture (</t>
    </r>
    <r>
      <rPr>
        <sz val="10"/>
        <rFont val="Noto Sans CJK SC"/>
        <family val="2"/>
      </rPr>
      <t>집</t>
    </r>
    <r>
      <rPr>
        <sz val="10"/>
        <rFont val="Arial"/>
        <family val="2"/>
        <charset val="1"/>
      </rPr>
      <t>·</t>
    </r>
    <r>
      <rPr>
        <sz val="10"/>
        <rFont val="Noto Sans CJK SC"/>
        <family val="2"/>
      </rPr>
      <t>가구</t>
    </r>
    <r>
      <rPr>
        <sz val="10"/>
        <rFont val="Arial"/>
        <family val="2"/>
        <charset val="1"/>
      </rPr>
      <t>)</t>
    </r>
  </si>
  <si>
    <t>우리 집 방과 가구를 영어로 소개해봐요</t>
  </si>
  <si>
    <t>house;room;bed;table;door</t>
  </si>
  <si>
    <t>R-34;R-38;R-01;R-09;R-30</t>
  </si>
  <si>
    <r>
      <rPr>
        <sz val="9"/>
        <color rgb="FF666666"/>
        <rFont val="Arial"/>
        <family val="2"/>
        <charset val="1"/>
      </rPr>
      <t>※ A~F</t>
    </r>
    <r>
      <rPr>
        <sz val="9"/>
        <color rgb="FF666666"/>
        <rFont val="Noto Sans CJK SC"/>
        <family val="2"/>
      </rPr>
      <t xml:space="preserve">열이 </t>
    </r>
    <r>
      <rPr>
        <sz val="9"/>
        <color rgb="FF666666"/>
        <rFont val="Arial"/>
        <family val="2"/>
        <charset val="1"/>
      </rPr>
      <t xml:space="preserve">units.csv </t>
    </r>
    <r>
      <rPr>
        <sz val="9"/>
        <color rgb="FF666666"/>
        <rFont val="Noto Sans CJK SC"/>
        <family val="2"/>
      </rPr>
      <t>납품 컬럼</t>
    </r>
    <r>
      <rPr>
        <sz val="9"/>
        <color rgb="FF666666"/>
        <rFont val="Arial"/>
        <family val="2"/>
        <charset val="1"/>
      </rPr>
      <t xml:space="preserve">. </t>
    </r>
    <r>
      <rPr>
        <sz val="9"/>
        <color rgb="FF666666"/>
        <rFont val="Noto Sans CJK SC"/>
        <family val="2"/>
      </rPr>
      <t xml:space="preserve">목표 </t>
    </r>
    <r>
      <rPr>
        <sz val="9"/>
        <color rgb="FF666666"/>
        <rFont val="Arial"/>
        <family val="2"/>
        <charset val="1"/>
      </rPr>
      <t>3</t>
    </r>
    <r>
      <rPr>
        <sz val="9"/>
        <color rgb="FF666666"/>
        <rFont val="Noto Sans CJK SC"/>
        <family val="2"/>
      </rPr>
      <t>개</t>
    </r>
    <r>
      <rPr>
        <sz val="9"/>
        <color rgb="FF666666"/>
        <rFont val="Arial"/>
        <family val="2"/>
        <charset val="1"/>
      </rPr>
      <t xml:space="preserve">. mission </t>
    </r>
    <r>
      <rPr>
        <sz val="9"/>
        <color rgb="FF666666"/>
        <rFont val="Noto Sans CJK SC"/>
        <family val="2"/>
      </rPr>
      <t>은 학생에게 그대로 보여주는 말하기 과제 문장이다</t>
    </r>
    <r>
      <rPr>
        <sz val="9"/>
        <color rgb="FF666666"/>
        <rFont val="Arial"/>
        <family val="2"/>
        <charset val="1"/>
      </rPr>
      <t xml:space="preserve">. rule_ids </t>
    </r>
    <r>
      <rPr>
        <sz val="9"/>
        <color rgb="FF666666"/>
        <rFont val="Noto Sans CJK SC"/>
        <family val="2"/>
      </rPr>
      <t xml:space="preserve">는 이 </t>
    </r>
    <r>
      <rPr>
        <sz val="9"/>
        <color rgb="FF666666"/>
        <rFont val="Arial"/>
        <family val="2"/>
        <charset val="1"/>
      </rPr>
      <t xml:space="preserve">Unit </t>
    </r>
    <r>
      <rPr>
        <sz val="9"/>
        <color rgb="FF666666"/>
        <rFont val="Noto Sans CJK SC"/>
        <family val="2"/>
      </rPr>
      <t>에서 다루는 규칙 목록이며</t>
    </r>
    <r>
      <rPr>
        <sz val="9"/>
        <color rgb="FF666666"/>
        <rFont val="Arial"/>
        <family val="2"/>
        <charset val="1"/>
      </rPr>
      <t xml:space="preserve">, 01_rules </t>
    </r>
    <r>
      <rPr>
        <sz val="9"/>
        <color rgb="FF666666"/>
        <rFont val="Noto Sans CJK SC"/>
        <family val="2"/>
      </rPr>
      <t xml:space="preserve">의 </t>
    </r>
    <r>
      <rPr>
        <sz val="9"/>
        <color rgb="FF666666"/>
        <rFont val="Arial"/>
        <family val="2"/>
        <charset val="1"/>
      </rPr>
      <t xml:space="preserve">chk_unit </t>
    </r>
    <r>
      <rPr>
        <sz val="9"/>
        <color rgb="FF666666"/>
        <rFont val="Noto Sans CJK SC"/>
        <family val="2"/>
      </rPr>
      <t>검사가 이 값을 기준으로 돈다</t>
    </r>
    <r>
      <rPr>
        <sz val="9"/>
        <color rgb="FF666666"/>
        <rFont val="Arial"/>
        <family val="2"/>
        <charset val="1"/>
      </rPr>
      <t>. R-32(3</t>
    </r>
    <r>
      <rPr>
        <sz val="9"/>
        <color rgb="FF666666"/>
        <rFont val="Noto Sans CJK SC"/>
        <family val="2"/>
      </rPr>
      <t>인칭단수</t>
    </r>
    <r>
      <rPr>
        <sz val="9"/>
        <color rgb="FF666666"/>
        <rFont val="Arial"/>
        <family val="2"/>
        <charset val="1"/>
      </rPr>
      <t xml:space="preserve">, </t>
    </r>
    <r>
      <rPr>
        <sz val="9"/>
        <color rgb="FF666666"/>
        <rFont val="Noto Sans CJK SC"/>
        <family val="2"/>
      </rPr>
      <t xml:space="preserve">옛 </t>
    </r>
    <r>
      <rPr>
        <sz val="9"/>
        <color rgb="FF666666"/>
        <rFont val="Arial"/>
        <family val="2"/>
        <charset val="1"/>
      </rPr>
      <t xml:space="preserve">R-02) </t>
    </r>
    <r>
      <rPr>
        <sz val="9"/>
        <color rgb="FF666666"/>
        <rFont val="Noto Sans CJK SC"/>
        <family val="2"/>
      </rPr>
      <t xml:space="preserve">가 </t>
    </r>
    <r>
      <rPr>
        <sz val="9"/>
        <color rgb="FF666666"/>
        <rFont val="Arial"/>
        <family val="2"/>
        <charset val="1"/>
      </rPr>
      <t xml:space="preserve">U3·U4 </t>
    </r>
    <r>
      <rPr>
        <sz val="9"/>
        <color rgb="FF666666"/>
        <rFont val="Noto Sans CJK SC"/>
        <family val="2"/>
      </rPr>
      <t xml:space="preserve">두 곳에 있었는데 </t>
    </r>
    <r>
      <rPr>
        <sz val="9"/>
        <color rgb="FF666666"/>
        <rFont val="Arial"/>
        <family val="2"/>
        <charset val="1"/>
      </rPr>
      <t xml:space="preserve">unit </t>
    </r>
    <r>
      <rPr>
        <sz val="9"/>
        <color rgb="FF666666"/>
        <rFont val="Noto Sans CJK SC"/>
        <family val="2"/>
      </rPr>
      <t xml:space="preserve">을 </t>
    </r>
    <r>
      <rPr>
        <sz val="9"/>
        <color rgb="FF666666"/>
        <rFont val="Arial"/>
        <family val="2"/>
        <charset val="1"/>
      </rPr>
      <t xml:space="preserve">ALL </t>
    </r>
    <r>
      <rPr>
        <sz val="9"/>
        <color rgb="FF666666"/>
        <rFont val="Noto Sans CJK SC"/>
        <family val="2"/>
      </rPr>
      <t>로 통일했다</t>
    </r>
    <r>
      <rPr>
        <sz val="9"/>
        <color rgb="FF666666"/>
        <rFont val="Arial"/>
        <family val="2"/>
        <charset val="1"/>
      </rPr>
      <t>. Unit01~Unit20(20</t>
    </r>
    <r>
      <rPr>
        <sz val="9"/>
        <color rgb="FF666666"/>
        <rFont val="Noto Sans CJK SC"/>
        <family val="2"/>
      </rPr>
      <t>개</t>
    </r>
    <r>
      <rPr>
        <sz val="9"/>
        <color rgb="FF666666"/>
        <rFont val="Arial"/>
        <family val="2"/>
        <charset val="1"/>
      </rPr>
      <t xml:space="preserve">, </t>
    </r>
    <r>
      <rPr>
        <sz val="9"/>
        <color rgb="FF666666"/>
        <rFont val="Noto Sans CJK SC"/>
        <family val="2"/>
      </rPr>
      <t xml:space="preserve">행 </t>
    </r>
    <r>
      <rPr>
        <sz val="9"/>
        <color rgb="FF666666"/>
        <rFont val="Arial"/>
        <family val="2"/>
        <charset val="1"/>
      </rPr>
      <t>2~21)</t>
    </r>
    <r>
      <rPr>
        <sz val="9"/>
        <color rgb="FF666666"/>
        <rFont val="Noto Sans CJK SC"/>
        <family val="2"/>
      </rPr>
      <t xml:space="preserve">은 초등 필수 어휘 </t>
    </r>
    <r>
      <rPr>
        <sz val="9"/>
        <color rgb="FF666666"/>
        <rFont val="Arial"/>
        <family val="2"/>
        <charset val="1"/>
      </rPr>
      <t>400</t>
    </r>
    <r>
      <rPr>
        <sz val="9"/>
        <color rgb="FF666666"/>
        <rFont val="Noto Sans CJK SC"/>
        <family val="2"/>
      </rPr>
      <t>단어</t>
    </r>
    <r>
      <rPr>
        <sz val="9"/>
        <color rgb="FF666666"/>
        <rFont val="Arial"/>
        <family val="2"/>
        <charset val="1"/>
      </rPr>
      <t>(</t>
    </r>
    <r>
      <rPr>
        <sz val="9"/>
        <color rgb="FF666666"/>
        <rFont val="Noto Sans CJK SC"/>
        <family val="2"/>
      </rPr>
      <t xml:space="preserve">주제당 </t>
    </r>
    <r>
      <rPr>
        <sz val="9"/>
        <color rgb="FF666666"/>
        <rFont val="Arial"/>
        <family val="2"/>
        <charset val="1"/>
      </rPr>
      <t>20</t>
    </r>
    <r>
      <rPr>
        <sz val="9"/>
        <color rgb="FF666666"/>
        <rFont val="Noto Sans CJK SC"/>
        <family val="2"/>
      </rPr>
      <t>개</t>
    </r>
    <r>
      <rPr>
        <sz val="9"/>
        <color rgb="FF666666"/>
        <rFont val="Arial"/>
        <family val="2"/>
        <charset val="1"/>
      </rPr>
      <t xml:space="preserve">, </t>
    </r>
    <r>
      <rPr>
        <sz val="9"/>
        <color rgb="FF666666"/>
        <rFont val="Noto Sans CJK SC"/>
        <family val="2"/>
      </rPr>
      <t xml:space="preserve">학년 혼합 </t>
    </r>
    <r>
      <rPr>
        <sz val="9"/>
        <color rgb="FF666666"/>
        <rFont val="Arial"/>
        <family val="2"/>
        <charset val="1"/>
      </rPr>
      <t>3~6</t>
    </r>
    <r>
      <rPr>
        <sz val="9"/>
        <color rgb="FF666666"/>
        <rFont val="Noto Sans CJK SC"/>
        <family val="2"/>
      </rPr>
      <t>학년</t>
    </r>
    <r>
      <rPr>
        <sz val="9"/>
        <color rgb="FF666666"/>
        <rFont val="Arial"/>
        <family val="2"/>
        <charset val="1"/>
      </rPr>
      <t>)</t>
    </r>
    <r>
      <rPr>
        <sz val="9"/>
        <color rgb="FF666666"/>
        <rFont val="Noto Sans CJK SC"/>
        <family val="2"/>
      </rPr>
      <t>를 다루는 별도 확장 세트다</t>
    </r>
    <r>
      <rPr>
        <sz val="9"/>
        <color rgb="FF666666"/>
        <rFont val="Arial"/>
        <family val="2"/>
        <charset val="1"/>
      </rPr>
      <t xml:space="preserve">. Unit01~20 </t>
    </r>
    <r>
      <rPr>
        <sz val="9"/>
        <color rgb="FF666666"/>
        <rFont val="Noto Sans CJK SC"/>
        <family val="2"/>
      </rPr>
      <t xml:space="preserve">의 </t>
    </r>
    <r>
      <rPr>
        <sz val="9"/>
        <color rgb="FF666666"/>
        <rFont val="Arial"/>
        <family val="2"/>
        <charset val="1"/>
      </rPr>
      <t xml:space="preserve">rule_ids </t>
    </r>
    <r>
      <rPr>
        <sz val="9"/>
        <color rgb="FF666666"/>
        <rFont val="Noto Sans CJK SC"/>
        <family val="2"/>
      </rPr>
      <t xml:space="preserve">는 </t>
    </r>
    <r>
      <rPr>
        <sz val="9"/>
        <color rgb="FF666666"/>
        <rFont val="Arial"/>
        <family val="2"/>
        <charset val="1"/>
      </rPr>
      <t xml:space="preserve">01_rules </t>
    </r>
    <r>
      <rPr>
        <sz val="9"/>
        <color rgb="FF666666"/>
        <rFont val="Noto Sans CJK SC"/>
        <family val="2"/>
      </rPr>
      <t xml:space="preserve">의 확장 세트 전용 </t>
    </r>
    <r>
      <rPr>
        <sz val="9"/>
        <color rgb="FF666666"/>
        <rFont val="Arial"/>
        <family val="2"/>
        <charset val="1"/>
      </rPr>
      <t>30</t>
    </r>
    <r>
      <rPr>
        <sz val="9"/>
        <color rgb="FF666666"/>
        <rFont val="Noto Sans CJK SC"/>
        <family val="2"/>
      </rPr>
      <t>개</t>
    </r>
    <r>
      <rPr>
        <sz val="9"/>
        <color rgb="FF666666"/>
        <rFont val="Arial"/>
        <family val="2"/>
        <charset val="1"/>
      </rPr>
      <t xml:space="preserve">(R-01~R-30) + </t>
    </r>
    <r>
      <rPr>
        <sz val="9"/>
        <color rgb="FF666666"/>
        <rFont val="Noto Sans CJK SC"/>
        <family val="2"/>
      </rPr>
      <t xml:space="preserve">기초 문법 </t>
    </r>
    <r>
      <rPr>
        <sz val="9"/>
        <color rgb="FF666666"/>
        <rFont val="Arial"/>
        <family val="2"/>
        <charset val="1"/>
      </rPr>
      <t>8</t>
    </r>
    <r>
      <rPr>
        <sz val="9"/>
        <color rgb="FF666666"/>
        <rFont val="Noto Sans CJK SC"/>
        <family val="2"/>
      </rPr>
      <t>개</t>
    </r>
    <r>
      <rPr>
        <sz val="9"/>
        <color rgb="FF666666"/>
        <rFont val="Arial"/>
        <family val="2"/>
        <charset val="1"/>
      </rPr>
      <t xml:space="preserve">(R-31~R-38, </t>
    </r>
    <r>
      <rPr>
        <sz val="9"/>
        <color rgb="FF666666"/>
        <rFont val="Noto Sans CJK SC"/>
        <family val="2"/>
      </rPr>
      <t xml:space="preserve">여러 </t>
    </r>
    <r>
      <rPr>
        <sz val="9"/>
        <color rgb="FF666666"/>
        <rFont val="Arial"/>
        <family val="2"/>
        <charset val="1"/>
      </rPr>
      <t>Unit</t>
    </r>
    <r>
      <rPr>
        <sz val="9"/>
        <color rgb="FF666666"/>
        <rFont val="Noto Sans CJK SC"/>
        <family val="2"/>
      </rPr>
      <t>에 공통 재사용</t>
    </r>
    <r>
      <rPr>
        <sz val="9"/>
        <color rgb="FF666666"/>
        <rFont val="Arial"/>
        <family val="2"/>
        <charset val="1"/>
      </rPr>
      <t xml:space="preserve">) </t>
    </r>
    <r>
      <rPr>
        <sz val="9"/>
        <color rgb="FF666666"/>
        <rFont val="Noto Sans CJK SC"/>
        <family val="2"/>
      </rPr>
      <t>로 채워져 있다</t>
    </r>
    <r>
      <rPr>
        <sz val="9"/>
        <color rgb="FF666666"/>
        <rFont val="Arial"/>
        <family val="2"/>
        <charset val="1"/>
      </rPr>
      <t xml:space="preserve">. 01_rules </t>
    </r>
    <r>
      <rPr>
        <sz val="9"/>
        <color rgb="FF666666"/>
        <rFont val="Noto Sans CJK SC"/>
        <family val="2"/>
      </rPr>
      <t xml:space="preserve">의 </t>
    </r>
    <r>
      <rPr>
        <sz val="9"/>
        <color rgb="FF666666"/>
        <rFont val="Arial"/>
        <family val="2"/>
        <charset val="1"/>
      </rPr>
      <t xml:space="preserve">chk_unit </t>
    </r>
    <r>
      <rPr>
        <sz val="9"/>
        <color rgb="FF666666"/>
        <rFont val="Noto Sans CJK SC"/>
        <family val="2"/>
      </rPr>
      <t xml:space="preserve">검사는 이제 </t>
    </r>
    <r>
      <rPr>
        <sz val="9"/>
        <color rgb="FF666666"/>
        <rFont val="Arial"/>
        <family val="2"/>
        <charset val="1"/>
      </rPr>
      <t>U3/U4/U5(</t>
    </r>
    <r>
      <rPr>
        <sz val="9"/>
        <color rgb="FF666666"/>
        <rFont val="Noto Sans CJK SC"/>
        <family val="2"/>
      </rPr>
      <t>기존 예시가 제거되어 미참조</t>
    </r>
    <r>
      <rPr>
        <sz val="9"/>
        <color rgb="FF666666"/>
        <rFont val="Arial"/>
        <family val="2"/>
        <charset val="1"/>
      </rPr>
      <t xml:space="preserve">) </t>
    </r>
    <r>
      <rPr>
        <sz val="9"/>
        <color rgb="FF666666"/>
        <rFont val="Noto Sans CJK SC"/>
        <family val="2"/>
      </rPr>
      <t>행에만 걸린다</t>
    </r>
    <r>
      <rPr>
        <sz val="9"/>
        <color rgb="FF666666"/>
        <rFont val="Arial"/>
        <family val="2"/>
        <charset val="1"/>
      </rPr>
      <t>.</t>
    </r>
  </si>
  <si>
    <t>meaning</t>
  </si>
  <si>
    <t>tip</t>
  </si>
  <si>
    <t>rule_id</t>
  </si>
  <si>
    <t>p-0001</t>
  </si>
  <si>
    <t>Hello, Tom!</t>
  </si>
  <si>
    <t>톰, 안녕!</t>
  </si>
  <si>
    <t>p-0002</t>
  </si>
  <si>
    <t>Hi, Amy!</t>
  </si>
  <si>
    <t>에이미, 안녕!</t>
  </si>
  <si>
    <t>p-0003</t>
  </si>
  <si>
    <t>Bye, Mike!</t>
  </si>
  <si>
    <t>마이크, 잘 가!</t>
  </si>
  <si>
    <t>p-0004</t>
  </si>
  <si>
    <t>Good morning!</t>
  </si>
  <si>
    <t>좋은 아침이에요!</t>
  </si>
  <si>
    <t>p-0005</t>
  </si>
  <si>
    <t>Good night!</t>
  </si>
  <si>
    <t>잘 자요!</t>
  </si>
  <si>
    <t>p-0006</t>
  </si>
  <si>
    <t>Goodbye, Mom!</t>
  </si>
  <si>
    <t>엄마, 안녕히 계세요!</t>
  </si>
  <si>
    <t>p-0007</t>
  </si>
  <si>
    <t>Thanks, Dad!</t>
  </si>
  <si>
    <t>아빠, 고마워요!</t>
  </si>
  <si>
    <t>p-0008</t>
  </si>
  <si>
    <t>I am sorry.</t>
  </si>
  <si>
    <t>저는 미안해요.</t>
  </si>
  <si>
    <t>p-0009</t>
  </si>
  <si>
    <t>Please, help me!</t>
  </si>
  <si>
    <t>제발, 저 좀 도와주세요!</t>
  </si>
  <si>
    <t>p-0010</t>
  </si>
  <si>
    <t>Welcome, everyone!</t>
  </si>
  <si>
    <t>여러분, 환영해요!</t>
  </si>
  <si>
    <t>p-0011</t>
  </si>
  <si>
    <t>She greets her teacher every morning.</t>
  </si>
  <si>
    <t>그녀는 매일 아침 선생님께 인사해요.</t>
  </si>
  <si>
    <t>p-0012</t>
  </si>
  <si>
    <t>She introduces her new friend to the class.</t>
  </si>
  <si>
    <t>그녀는 반 친구들에게 새 친구를 소개해요.</t>
  </si>
  <si>
    <t>p-0013</t>
  </si>
  <si>
    <t>She apologizes to her friend.</t>
  </si>
  <si>
    <t>그녀는 친구에게 사과해요.</t>
  </si>
  <si>
    <t>p-0014</t>
  </si>
  <si>
    <t>She thanks her parents every day.</t>
  </si>
  <si>
    <t>그녀는 매일 부모님께 감사해요.</t>
  </si>
  <si>
    <t>p-0015</t>
  </si>
  <si>
    <t>She invites her friends to the party.</t>
  </si>
  <si>
    <t>그녀는 친구들을 파티에 초대해요.</t>
  </si>
  <si>
    <t>p-0016</t>
  </si>
  <si>
    <t>She appreciates her friends' help.</t>
  </si>
  <si>
    <t>그녀는 친구들의 도움에 감사해해요.</t>
  </si>
  <si>
    <t>p-0017</t>
  </si>
  <si>
    <t>It was a warm farewell.</t>
  </si>
  <si>
    <t>그것은 따뜻한 작별 인사였어요.</t>
  </si>
  <si>
    <t>p-0018</t>
  </si>
  <si>
    <t>It was a warm greeting.</t>
  </si>
  <si>
    <t>그것은 따뜻한 인사였어요.</t>
  </si>
  <si>
    <t>p-0019</t>
  </si>
  <si>
    <t>She is very polite.</t>
  </si>
  <si>
    <t>그녀는 아주 예의발라요.</t>
  </si>
  <si>
    <t>p-0020</t>
  </si>
  <si>
    <t>This letter is formal.</t>
  </si>
  <si>
    <t>이 편지는 격식있어요.</t>
  </si>
  <si>
    <t>p-0021</t>
  </si>
  <si>
    <t>This is my mom.</t>
  </si>
  <si>
    <t>이 사람은 우리 엄마예요.</t>
  </si>
  <si>
    <t>p-0022</t>
  </si>
  <si>
    <t>This is my dad.</t>
  </si>
  <si>
    <t>이 사람은 우리 아빠예요.</t>
  </si>
  <si>
    <t>p-0023</t>
  </si>
  <si>
    <t>This is my sister.</t>
  </si>
  <si>
    <t>이 사람은 제 언니예요.</t>
  </si>
  <si>
    <t>p-0024</t>
  </si>
  <si>
    <t>This is my brother.</t>
  </si>
  <si>
    <t>이 사람은 제 형이에요.</t>
  </si>
  <si>
    <t>p-0025</t>
  </si>
  <si>
    <t>This is my baby.</t>
  </si>
  <si>
    <t>이 아기는 제 동생이에요.</t>
  </si>
  <si>
    <t>p-0026</t>
  </si>
  <si>
    <t>She is my grandmother.</t>
  </si>
  <si>
    <t>그녀는 저의 할머니예요.</t>
  </si>
  <si>
    <t>p-0027</t>
  </si>
  <si>
    <t>She is my grandfather.</t>
  </si>
  <si>
    <t>그녀는 저의 할아버지예요.</t>
  </si>
  <si>
    <t>p-0028</t>
  </si>
  <si>
    <t>She is my aunt.</t>
  </si>
  <si>
    <t>그녀는 저의 이모예요.</t>
  </si>
  <si>
    <t>p-0029</t>
  </si>
  <si>
    <t>She is my uncle.</t>
  </si>
  <si>
    <t>그녀는 저의 삼촌예요.</t>
  </si>
  <si>
    <t>p-0030</t>
  </si>
  <si>
    <t>She is my cousin.</t>
  </si>
  <si>
    <t>그녀는 저의 사촌예요.</t>
  </si>
  <si>
    <t>p-0031</t>
  </si>
  <si>
    <t>These are my parents.</t>
  </si>
  <si>
    <t>이 분들은 저의 부모님이에요.</t>
  </si>
  <si>
    <t>p-0032</t>
  </si>
  <si>
    <t>I have a family.</t>
  </si>
  <si>
    <t>저는 가족이 하나 있어요.</t>
  </si>
  <si>
    <t>p-0033</t>
  </si>
  <si>
    <t>I have a son.</t>
  </si>
  <si>
    <t>저는 아들이 하나 있어요.</t>
  </si>
  <si>
    <t>p-0034</t>
  </si>
  <si>
    <t>I have a daughter.</t>
  </si>
  <si>
    <t>저는 딸이 하나 있어요.</t>
  </si>
  <si>
    <t>p-0035</t>
  </si>
  <si>
    <t>I have a relative.</t>
  </si>
  <si>
    <t>저는 친척이 하나 있어요.</t>
  </si>
  <si>
    <t>p-0036</t>
  </si>
  <si>
    <t>I have a grandchild.</t>
  </si>
  <si>
    <t>저는 손주가 하나 있어요.</t>
  </si>
  <si>
    <t>p-0037</t>
  </si>
  <si>
    <t>I have a sibling.</t>
  </si>
  <si>
    <t>저는 형제자매가 하나 있어요.</t>
  </si>
  <si>
    <t>p-0038</t>
  </si>
  <si>
    <t>I have a generation.</t>
  </si>
  <si>
    <t>저는 세대가 하나 있어요.</t>
  </si>
  <si>
    <t>p-0039</t>
  </si>
  <si>
    <t>I have a spouse.</t>
  </si>
  <si>
    <t>저는 배우자가 하나 있어요.</t>
  </si>
  <si>
    <t>p-0040</t>
  </si>
  <si>
    <t>I have an ancestor.</t>
  </si>
  <si>
    <t>저는 조상이 하나 있어요.</t>
  </si>
  <si>
    <t>p-0041</t>
  </si>
  <si>
    <t>There is a book on the desk.</t>
  </si>
  <si>
    <t>책이 있어요.</t>
  </si>
  <si>
    <t>p-0042</t>
  </si>
  <si>
    <t>There is a pencil in the bag.</t>
  </si>
  <si>
    <t>연필이 있어요.</t>
  </si>
  <si>
    <t>p-0043</t>
  </si>
  <si>
    <t>There is a desk in the room.</t>
  </si>
  <si>
    <t>책상이 있어요.</t>
  </si>
  <si>
    <t>p-0044</t>
  </si>
  <si>
    <t>There is a chair by the window.</t>
  </si>
  <si>
    <t>의자가 있어요.</t>
  </si>
  <si>
    <t>p-0045</t>
  </si>
  <si>
    <t>I have a teacher.</t>
  </si>
  <si>
    <t>저는 선생님이 하나 있어요.</t>
  </si>
  <si>
    <t>p-0046</t>
  </si>
  <si>
    <t>I have a classroom.</t>
  </si>
  <si>
    <t>저는 교실이 하나 있어요.</t>
  </si>
  <si>
    <t>p-0047</t>
  </si>
  <si>
    <t>I have a student.</t>
  </si>
  <si>
    <t>저는 학생이 하나 있어요.</t>
  </si>
  <si>
    <t>p-0048</t>
  </si>
  <si>
    <t>There is a notebook on the table.</t>
  </si>
  <si>
    <t>공책이 있어요.</t>
  </si>
  <si>
    <t>p-0049</t>
  </si>
  <si>
    <t>There is an eraser in the pencil case.</t>
  </si>
  <si>
    <t>지우개가 있어요.</t>
  </si>
  <si>
    <t>p-0050</t>
  </si>
  <si>
    <t>There is a bag under the chair.</t>
  </si>
  <si>
    <t>가방이 있어요.</t>
  </si>
  <si>
    <t>p-0051</t>
  </si>
  <si>
    <t>She finishes her homework every day.</t>
  </si>
  <si>
    <t>그녀는 매일 숙제를 끝내요.</t>
  </si>
  <si>
    <t>p-0052</t>
  </si>
  <si>
    <t>She has a test every day.</t>
  </si>
  <si>
    <t>그녀는 매일 시험을 봐요.</t>
  </si>
  <si>
    <t>p-0053</t>
  </si>
  <si>
    <t>I have a subject.</t>
  </si>
  <si>
    <t>저는 과목이 하나 있어요.</t>
  </si>
  <si>
    <t>p-0054</t>
  </si>
  <si>
    <t>She learns a lesson every day.</t>
  </si>
  <si>
    <t>그녀는 매일 교훈을 배워요.</t>
  </si>
  <si>
    <t>p-0055</t>
  </si>
  <si>
    <t>I have a library.</t>
  </si>
  <si>
    <t>저는 도서관이 하나 있어요.</t>
  </si>
  <si>
    <t>p-0056</t>
  </si>
  <si>
    <t>I have a principal.</t>
  </si>
  <si>
    <t>저는 교장 선생님이 하나 있어요.</t>
  </si>
  <si>
    <t>p-0057</t>
  </si>
  <si>
    <t>I have an education.</t>
  </si>
  <si>
    <t>저는 교육이 하나 있어요.</t>
  </si>
  <si>
    <t>p-0058</t>
  </si>
  <si>
    <t>I have a schedule.</t>
  </si>
  <si>
    <t>저는 시간표가 하나 있어요.</t>
  </si>
  <si>
    <t>p-0059</t>
  </si>
  <si>
    <t>I have a grade.</t>
  </si>
  <si>
    <t>저는 학년이 하나 있어요.</t>
  </si>
  <si>
    <t>p-0060</t>
  </si>
  <si>
    <t>I have a classmate.</t>
  </si>
  <si>
    <t>저는 반 친구가 하나 있어요.</t>
  </si>
  <si>
    <t>p-0061</t>
  </si>
  <si>
    <t>The dog can run fast.</t>
  </si>
  <si>
    <t>강아지는 빨리 달릴 수 있어요.</t>
  </si>
  <si>
    <t>p-0062</t>
  </si>
  <si>
    <t>The cat can climb trees.</t>
  </si>
  <si>
    <t>고양이는 나무를 오를 수 있어요.</t>
  </si>
  <si>
    <t>p-0063</t>
  </si>
  <si>
    <t>The bird can fly high.</t>
  </si>
  <si>
    <t>새는 높이 날 수 있어요.</t>
  </si>
  <si>
    <t>p-0064</t>
  </si>
  <si>
    <t>The fish can swim fast.</t>
  </si>
  <si>
    <t>물고기는 빨리 헤엄칠 수 있어요.</t>
  </si>
  <si>
    <t>p-0065</t>
  </si>
  <si>
    <t>The rabbit can jump high.</t>
  </si>
  <si>
    <t>토끼는 높이 뛸 수 있어요.</t>
  </si>
  <si>
    <t>p-0066</t>
  </si>
  <si>
    <t>The lion can run fast.</t>
  </si>
  <si>
    <t>사자는 빨리 달릴 수 있어요.</t>
  </si>
  <si>
    <t>p-0067</t>
  </si>
  <si>
    <t>The elephant can swim well.</t>
  </si>
  <si>
    <t>코끼리는 수영을 잘할 수 있어요.</t>
  </si>
  <si>
    <t>p-0068</t>
  </si>
  <si>
    <t>The monkey can climb trees.</t>
  </si>
  <si>
    <t>원숭이는 나무를 오를 수 있어요.</t>
  </si>
  <si>
    <t>p-0069</t>
  </si>
  <si>
    <t>The tiger can run fast.</t>
  </si>
  <si>
    <t>호랑이는 빨리 달릴 수 있어요.</t>
  </si>
  <si>
    <t>p-0070</t>
  </si>
  <si>
    <t>The bear can climb trees.</t>
  </si>
  <si>
    <t>곰은 나무를 오를 수 있어요.</t>
  </si>
  <si>
    <t>p-0071</t>
  </si>
  <si>
    <t>These wildlife are amazing.</t>
  </si>
  <si>
    <t>이 야생동물들은 놀라워요.</t>
  </si>
  <si>
    <t>p-0072</t>
  </si>
  <si>
    <t>These insects are amazing.</t>
  </si>
  <si>
    <t>이 곤충들은 놀라워요.</t>
  </si>
  <si>
    <t>p-0073</t>
  </si>
  <si>
    <t>These reptiles are amazing.</t>
  </si>
  <si>
    <t>이 파충류들은 놀라워요.</t>
  </si>
  <si>
    <t>p-0074</t>
  </si>
  <si>
    <t>These mammals are amazing.</t>
  </si>
  <si>
    <t>이 포유류들은 놀라워요.</t>
  </si>
  <si>
    <t>p-0075</t>
  </si>
  <si>
    <t>These creatures are amazing.</t>
  </si>
  <si>
    <t>이 생물들은 놀라워요.</t>
  </si>
  <si>
    <t>p-0076</t>
  </si>
  <si>
    <t>This animal is endangered.</t>
  </si>
  <si>
    <t>이 동물은 멸종위기예요.</t>
  </si>
  <si>
    <t>p-0077</t>
  </si>
  <si>
    <t>I have a species.</t>
  </si>
  <si>
    <t>저는 종이 하나 있어요.</t>
  </si>
  <si>
    <t>p-0078</t>
  </si>
  <si>
    <t>I have a habitat.</t>
  </si>
  <si>
    <t>저는 서식지가 하나 있어요.</t>
  </si>
  <si>
    <t>p-0079</t>
  </si>
  <si>
    <t>I have a predator.</t>
  </si>
  <si>
    <t>저는 포식자가 하나 있어요.</t>
  </si>
  <si>
    <t>p-0080</t>
  </si>
  <si>
    <t>I have an ecosystem.</t>
  </si>
  <si>
    <t>저는 생태계가 하나 있어요.</t>
  </si>
  <si>
    <t>p-0081</t>
  </si>
  <si>
    <t>I have an apple.</t>
  </si>
  <si>
    <t>저는 사과가 하나 있어요.</t>
  </si>
  <si>
    <t>p-0082</t>
  </si>
  <si>
    <t>I have much milk.</t>
  </si>
  <si>
    <t>저는 우유가 많이 있어요.</t>
  </si>
  <si>
    <t>p-0083</t>
  </si>
  <si>
    <t>I have much bread.</t>
  </si>
  <si>
    <t>저는 빵이 많이 있어요.</t>
  </si>
  <si>
    <t>p-0084</t>
  </si>
  <si>
    <t>I have much rice.</t>
  </si>
  <si>
    <t>저는 밥이 많이 있어요.</t>
  </si>
  <si>
    <t>p-0085</t>
  </si>
  <si>
    <t>I have an egg.</t>
  </si>
  <si>
    <t>저는 달걀이 하나 있어요.</t>
  </si>
  <si>
    <t>p-0086</t>
  </si>
  <si>
    <t>I want a pizza.</t>
  </si>
  <si>
    <t>저는 피자를 원해요.</t>
  </si>
  <si>
    <t>p-0087</t>
  </si>
  <si>
    <t>I want a banana.</t>
  </si>
  <si>
    <t>저는 바나나를 원해요.</t>
  </si>
  <si>
    <t>p-0088</t>
  </si>
  <si>
    <t>I want a cheese.</t>
  </si>
  <si>
    <t>저는 치즈를 원해요.</t>
  </si>
  <si>
    <t>p-0089</t>
  </si>
  <si>
    <t>I want a soup.</t>
  </si>
  <si>
    <t>저는 수프를 원해요.</t>
  </si>
  <si>
    <t>p-0090</t>
  </si>
  <si>
    <t>I want a noodle.</t>
  </si>
  <si>
    <t>저는 면을 원해요.</t>
  </si>
  <si>
    <t>p-0091</t>
  </si>
  <si>
    <t>I have a vegetable.</t>
  </si>
  <si>
    <t>저는 채소가 하나 있어요.</t>
  </si>
  <si>
    <t>p-0092</t>
  </si>
  <si>
    <t>I eat much fruit.</t>
  </si>
  <si>
    <t>저는 과일을 많이 먹어요.</t>
  </si>
  <si>
    <t>p-0093</t>
  </si>
  <si>
    <t>I have a dessert.</t>
  </si>
  <si>
    <t>저는 디저트가 하나 있어요.</t>
  </si>
  <si>
    <t>p-0094</t>
  </si>
  <si>
    <t>I have a snack.</t>
  </si>
  <si>
    <t>저는 간식이 하나 있어요.</t>
  </si>
  <si>
    <t>p-0095</t>
  </si>
  <si>
    <t>I have a meal.</t>
  </si>
  <si>
    <t>저는 식사가 하나 있어요.</t>
  </si>
  <si>
    <t>p-0096</t>
  </si>
  <si>
    <t>Good nutrition is important.</t>
  </si>
  <si>
    <t>좋은 영양은 중요해요.</t>
  </si>
  <si>
    <t>p-0097</t>
  </si>
  <si>
    <t>Good ingredient is important.</t>
  </si>
  <si>
    <t>좋은 재료는 중요해요.</t>
  </si>
  <si>
    <t>p-0098</t>
  </si>
  <si>
    <t>Good recipe is important.</t>
  </si>
  <si>
    <t>좋은 조리법은 중요해요.</t>
  </si>
  <si>
    <t>p-0099</t>
  </si>
  <si>
    <t>Good appetite is important.</t>
  </si>
  <si>
    <t>좋은 식욕은 중요해요.</t>
  </si>
  <si>
    <t>p-0100</t>
  </si>
  <si>
    <t>Good diet is important.</t>
  </si>
  <si>
    <t>좋은 식단은 중요해요.</t>
  </si>
  <si>
    <t>p-0101</t>
  </si>
  <si>
    <t>I see a red apple.</t>
  </si>
  <si>
    <t>저는 빨간 것을 봐요.</t>
  </si>
  <si>
    <t>p-0102</t>
  </si>
  <si>
    <t>I see a blue sky.</t>
  </si>
  <si>
    <t>저는 파란 것을 봐요.</t>
  </si>
  <si>
    <t>p-0103</t>
  </si>
  <si>
    <t>I see a yellow banana.</t>
  </si>
  <si>
    <t>저는 노란 것을 봐요.</t>
  </si>
  <si>
    <t>p-0104</t>
  </si>
  <si>
    <t>I see a green leaf.</t>
  </si>
  <si>
    <t>저는 초록 것을 봐요.</t>
  </si>
  <si>
    <t>p-0105</t>
  </si>
  <si>
    <t>I see a white cloud.</t>
  </si>
  <si>
    <t>저는 흰 것을 봐요.</t>
  </si>
  <si>
    <t>p-0106</t>
  </si>
  <si>
    <t>I see a black cat.</t>
  </si>
  <si>
    <t>저는 검은 것을 봐요.</t>
  </si>
  <si>
    <t>p-0107</t>
  </si>
  <si>
    <t>I see a pink dress.</t>
  </si>
  <si>
    <t>저는 분홍 것을 봐요.</t>
  </si>
  <si>
    <t>p-0108</t>
  </si>
  <si>
    <t>I see a purple grape.</t>
  </si>
  <si>
    <t>저는 보라 것을 봐요.</t>
  </si>
  <si>
    <t>p-0109</t>
  </si>
  <si>
    <t>I see an orange orange.</t>
  </si>
  <si>
    <t>저는 주황 것을 봐요.</t>
  </si>
  <si>
    <t>p-0110</t>
  </si>
  <si>
    <t>I see a brown bear.</t>
  </si>
  <si>
    <t>저는 갈색 것을 봐요.</t>
  </si>
  <si>
    <t>p-0111</t>
  </si>
  <si>
    <t>I have a gray.</t>
  </si>
  <si>
    <t>저는 회색이 하나 있어요.</t>
  </si>
  <si>
    <t>p-0112</t>
  </si>
  <si>
    <t>I have a gold.</t>
  </si>
  <si>
    <t>저는 금색이 하나 있어요.</t>
  </si>
  <si>
    <t>p-0113</t>
  </si>
  <si>
    <t>I have a silver.</t>
  </si>
  <si>
    <t>저는 은색이 하나 있어요.</t>
  </si>
  <si>
    <t>p-0114</t>
  </si>
  <si>
    <t>The garden is colorful.</t>
  </si>
  <si>
    <t>정원이 알록달록해요.</t>
  </si>
  <si>
    <t>p-0115</t>
  </si>
  <si>
    <t>The garden is bright.</t>
  </si>
  <si>
    <t>정원이 밝아요.</t>
  </si>
  <si>
    <t>p-0116</t>
  </si>
  <si>
    <t>I have a shade.</t>
  </si>
  <si>
    <t>저는 색조가 하나 있어요.</t>
  </si>
  <si>
    <t>p-0117</t>
  </si>
  <si>
    <t>I have a tone.</t>
  </si>
  <si>
    <t>저는 톤이 하나 있어요.</t>
  </si>
  <si>
    <t>p-0118</t>
  </si>
  <si>
    <t>Her face looked pale.</t>
  </si>
  <si>
    <t>그녀의 얼굴이 창백해 보였어요.</t>
  </si>
  <si>
    <t>p-0119</t>
  </si>
  <si>
    <t>The painting is vivid.</t>
  </si>
  <si>
    <t>그림이 선명해요.</t>
  </si>
  <si>
    <t>p-0120</t>
  </si>
  <si>
    <t>She dyes her shirt red.</t>
  </si>
  <si>
    <t>그녀는 그녀의 셔츠를 빨갛게 염색해요.</t>
  </si>
  <si>
    <t>p-0121</t>
  </si>
  <si>
    <t>I have one apple.</t>
  </si>
  <si>
    <t>p-0122</t>
  </si>
  <si>
    <t>I have two books.</t>
  </si>
  <si>
    <t>저는 책이 2개 있어요.</t>
  </si>
  <si>
    <t>p-0123</t>
  </si>
  <si>
    <t>I have three pencils.</t>
  </si>
  <si>
    <t>저는 연필이 3개 있어요.</t>
  </si>
  <si>
    <t>p-0124</t>
  </si>
  <si>
    <t>I have four balls.</t>
  </si>
  <si>
    <t>저는 공이 4개 있어요.</t>
  </si>
  <si>
    <t>p-0125</t>
  </si>
  <si>
    <t>I have five cookies.</t>
  </si>
  <si>
    <t>저는 쿠키가 5개 있어요.</t>
  </si>
  <si>
    <t>p-0126</t>
  </si>
  <si>
    <t>I have six stars.</t>
  </si>
  <si>
    <t>저는 별이 6개 있어요.</t>
  </si>
  <si>
    <t>p-0127</t>
  </si>
  <si>
    <t>I have seven flowers.</t>
  </si>
  <si>
    <t>저는 꽃이 7개 있어요.</t>
  </si>
  <si>
    <t>p-0128</t>
  </si>
  <si>
    <t>I have eight toys.</t>
  </si>
  <si>
    <t>저는 장난감이 8개 있어요.</t>
  </si>
  <si>
    <t>p-0129</t>
  </si>
  <si>
    <t>I have nine cups.</t>
  </si>
  <si>
    <t>저는 컵이 9개 있어요.</t>
  </si>
  <si>
    <t>p-0130</t>
  </si>
  <si>
    <t>I have ten balloons.</t>
  </si>
  <si>
    <t>저는 풍선이 10개 있어요.</t>
  </si>
  <si>
    <t>p-0131</t>
  </si>
  <si>
    <t>There are a hundred students.</t>
  </si>
  <si>
    <t>학생이 백 명 있어요.</t>
  </si>
  <si>
    <t>p-0132</t>
  </si>
  <si>
    <t>There are a thousand students.</t>
  </si>
  <si>
    <t>학생이 천 명 있어요.</t>
  </si>
  <si>
    <t>p-0133</t>
  </si>
  <si>
    <t>I bought a dozen eggs.</t>
  </si>
  <si>
    <t>저는 달걀 한 다스를 샀어요.</t>
  </si>
  <si>
    <t>p-0134</t>
  </si>
  <si>
    <t>She was the first to finish.</t>
  </si>
  <si>
    <t>그녀가 첫 번째로 끝냈어요.</t>
  </si>
  <si>
    <t>p-0135</t>
  </si>
  <si>
    <t>She was the second to finish.</t>
  </si>
  <si>
    <t>그녀가 두 번째로 끝냈어요.</t>
  </si>
  <si>
    <t>p-0136</t>
  </si>
  <si>
    <t>I have a million.</t>
  </si>
  <si>
    <t>저는 백만이 하나 있어요.</t>
  </si>
  <si>
    <t>p-0137</t>
  </si>
  <si>
    <t>I have a quarter.</t>
  </si>
  <si>
    <t>저는 사분의 일이 하나 있어요.</t>
  </si>
  <si>
    <t>p-0138</t>
  </si>
  <si>
    <t>Give me half of the apple.</t>
  </si>
  <si>
    <t>사과의 절반을 주세요.</t>
  </si>
  <si>
    <t>p-0139</t>
  </si>
  <si>
    <t>I have a double.</t>
  </si>
  <si>
    <t>저는 두 배가 하나 있어요.</t>
  </si>
  <si>
    <t>p-0140</t>
  </si>
  <si>
    <t>I have a triple.</t>
  </si>
  <si>
    <t>저는 세 배가 하나 있어요.</t>
  </si>
  <si>
    <t>p-0141</t>
  </si>
  <si>
    <t>It is sunny today.</t>
  </si>
  <si>
    <t>오늘은 화창해요.</t>
  </si>
  <si>
    <t>p-0142</t>
  </si>
  <si>
    <t>It is rainy today.</t>
  </si>
  <si>
    <t>오늘은 비가 와요.</t>
  </si>
  <si>
    <t>p-0143</t>
  </si>
  <si>
    <t>It is cloudy today.</t>
  </si>
  <si>
    <t>오늘은 흐려요.</t>
  </si>
  <si>
    <t>p-0144</t>
  </si>
  <si>
    <t>It is hot today.</t>
  </si>
  <si>
    <t>오늘은 더워요.</t>
  </si>
  <si>
    <t>p-0145</t>
  </si>
  <si>
    <t>It is cold today.</t>
  </si>
  <si>
    <t>오늘은 추워요.</t>
  </si>
  <si>
    <t>p-0146</t>
  </si>
  <si>
    <t>It is windy today.</t>
  </si>
  <si>
    <t>오늘은 바람이 불어요.</t>
  </si>
  <si>
    <t>p-0147</t>
  </si>
  <si>
    <t>It is snowy today.</t>
  </si>
  <si>
    <t>오늘은 눈이 와요.</t>
  </si>
  <si>
    <t>p-0148</t>
  </si>
  <si>
    <t>It is warm today.</t>
  </si>
  <si>
    <t>오늘은 따뜻해요.</t>
  </si>
  <si>
    <t>p-0149</t>
  </si>
  <si>
    <t>It is cool today.</t>
  </si>
  <si>
    <t>오늘은 시원해요.</t>
  </si>
  <si>
    <t>p-0150</t>
  </si>
  <si>
    <t>How is the weather today?</t>
  </si>
  <si>
    <t>오늘 날씨가 어때요?</t>
  </si>
  <si>
    <t>p-0151</t>
  </si>
  <si>
    <t>The temperature dropped last night.</t>
  </si>
  <si>
    <t>기온이 어젯밤 떨어졌어요.</t>
  </si>
  <si>
    <t>p-0152</t>
  </si>
  <si>
    <t>The forecast says it will rain.</t>
  </si>
  <si>
    <t>예보에 따르면 비가 올 거예요.</t>
  </si>
  <si>
    <t>p-0153</t>
  </si>
  <si>
    <t>I have a storm.</t>
  </si>
  <si>
    <t>저는 폭풍이 하나 있어요.</t>
  </si>
  <si>
    <t>p-0154</t>
  </si>
  <si>
    <t>It is humid in summer.</t>
  </si>
  <si>
    <t>여름엔 습해요.</t>
  </si>
  <si>
    <t>p-0155</t>
  </si>
  <si>
    <t>The morning was foggy.</t>
  </si>
  <si>
    <t>아침에 안개가 꼈어요.</t>
  </si>
  <si>
    <t>p-0156</t>
  </si>
  <si>
    <t>I have a climate.</t>
  </si>
  <si>
    <t>저는 기후가 하나 있어요.</t>
  </si>
  <si>
    <t>p-0157</t>
  </si>
  <si>
    <t>I have a drought.</t>
  </si>
  <si>
    <t>저는 가뭄이 하나 있어요.</t>
  </si>
  <si>
    <t>p-0158</t>
  </si>
  <si>
    <t>We heard much thunder last night.</t>
  </si>
  <si>
    <t>어젯밤 천둥이 많이 쳤어요.</t>
  </si>
  <si>
    <t>p-0159</t>
  </si>
  <si>
    <t>We heard much lightning last night.</t>
  </si>
  <si>
    <t>어젯밤 번개가 많이 쳤어요.</t>
  </si>
  <si>
    <t>p-0160</t>
  </si>
  <si>
    <t>A hurricane will hit the coast.</t>
  </si>
  <si>
    <t>허리케인이 해안을 강타할 거예요.</t>
  </si>
  <si>
    <t>p-0161</t>
  </si>
  <si>
    <t>Flowers bloom in spring.</t>
  </si>
  <si>
    <t>봄에는 꽃이 펴요.</t>
  </si>
  <si>
    <t>p-0162</t>
  </si>
  <si>
    <t>We enjoy summer activities in summer.</t>
  </si>
  <si>
    <t>여름에는 물놀이를 즐겨요.</t>
  </si>
  <si>
    <t>p-0163</t>
  </si>
  <si>
    <t>We enjoy fall activities in fall.</t>
  </si>
  <si>
    <t>가을에는 단풍 구경을 즐겨요.</t>
  </si>
  <si>
    <t>p-0164</t>
  </si>
  <si>
    <t>We enjoy winter activities in winter.</t>
  </si>
  <si>
    <t>겨울에는 눈싸움을 즐겨요.</t>
  </si>
  <si>
    <t>p-0165</t>
  </si>
  <si>
    <t>I have a season.</t>
  </si>
  <si>
    <t>저는 계절이 하나 있어요.</t>
  </si>
  <si>
    <t>p-0166</t>
  </si>
  <si>
    <t>I have a leaf.</t>
  </si>
  <si>
    <t>저는 나뭇잎이 하나 있어요.</t>
  </si>
  <si>
    <t>p-0167</t>
  </si>
  <si>
    <t>I have a flower.</t>
  </si>
  <si>
    <t>저는 꽃이 하나 있어요.</t>
  </si>
  <si>
    <t>p-0168</t>
  </si>
  <si>
    <t>I have a snowman.</t>
  </si>
  <si>
    <t>저는 눈사람이 하나 있어요.</t>
  </si>
  <si>
    <t>p-0169</t>
  </si>
  <si>
    <t>I have a vacation.</t>
  </si>
  <si>
    <t>저는 방학이 하나 있어요.</t>
  </si>
  <si>
    <t>p-0170</t>
  </si>
  <si>
    <t>I have a holiday.</t>
  </si>
  <si>
    <t>저는 휴일이 하나 있어요.</t>
  </si>
  <si>
    <t>p-0171</t>
  </si>
  <si>
    <t>A farmer harvests rice in fall.</t>
  </si>
  <si>
    <t>농부는 가을에 벼를 수확해요.</t>
  </si>
  <si>
    <t>p-0172</t>
  </si>
  <si>
    <t>The cherry tree blossoms in April.</t>
  </si>
  <si>
    <t>벚나무는 4월에 꽃이 펴요.</t>
  </si>
  <si>
    <t>p-0173</t>
  </si>
  <si>
    <t>The bird migrates south in winter.</t>
  </si>
  <si>
    <t>그 새는 겨울에 남쪽으로 이동해요.</t>
  </si>
  <si>
    <t>p-0174</t>
  </si>
  <si>
    <t>The bear hibernates in winter.</t>
  </si>
  <si>
    <t>그 곰은 겨울에 겨울잠을 자요.</t>
  </si>
  <si>
    <t>p-0175</t>
  </si>
  <si>
    <t>Strawberries are seasonal.</t>
  </si>
  <si>
    <t>딸기는 계절 과일이에요.</t>
  </si>
  <si>
    <t>p-0176</t>
  </si>
  <si>
    <t>I have an equinox.</t>
  </si>
  <si>
    <t>저는 춘분/추분이 하나 있어요.</t>
  </si>
  <si>
    <t>p-0177</t>
  </si>
  <si>
    <t>I have a solstice.</t>
  </si>
  <si>
    <t>저는 하지/동지가 하나 있어요.</t>
  </si>
  <si>
    <t>p-0178</t>
  </si>
  <si>
    <t>This trip is annual.</t>
  </si>
  <si>
    <t>이 여행은 매년 하는 거예요.</t>
  </si>
  <si>
    <t>p-0179</t>
  </si>
  <si>
    <t>Korea's climate is temperate.</t>
  </si>
  <si>
    <t>한국의 기후는 온화해요.</t>
  </si>
  <si>
    <t>p-0180</t>
  </si>
  <si>
    <t>I have a transition.</t>
  </si>
  <si>
    <t>저는 변화가 하나 있어요.</t>
  </si>
  <si>
    <t>p-0181</t>
  </si>
  <si>
    <t>She is wearing a white shirt.</t>
  </si>
  <si>
    <t>그녀는 흰색 셔츠를 입고 있어요.</t>
  </si>
  <si>
    <t>p-0182</t>
  </si>
  <si>
    <t>These pants are too long.</t>
  </si>
  <si>
    <t>이 바지는 너무 길어요.</t>
  </si>
  <si>
    <t>p-0183</t>
  </si>
  <si>
    <t>My shoes are new.</t>
  </si>
  <si>
    <t>제 신발은 새 거예요.</t>
  </si>
  <si>
    <t>p-0184</t>
  </si>
  <si>
    <t>He wears a blue hat.</t>
  </si>
  <si>
    <t>그는 파란 모자를 써요.</t>
  </si>
  <si>
    <t>p-0185</t>
  </si>
  <si>
    <t>My socks are warm.</t>
  </si>
  <si>
    <t>제 양말은 따뜻해요.</t>
  </si>
  <si>
    <t>p-0186</t>
  </si>
  <si>
    <t>He is wearing a jacket.</t>
  </si>
  <si>
    <t>그는 재킷을 입고 있어요.</t>
  </si>
  <si>
    <t>p-0187</t>
  </si>
  <si>
    <t>She is wearing a red skirt.</t>
  </si>
  <si>
    <t>그녀는 빨간 치마를 입고 있어요.</t>
  </si>
  <si>
    <t>p-0188</t>
  </si>
  <si>
    <t>She is wearing a pretty dress.</t>
  </si>
  <si>
    <t>그녀는 예쁜 원피스를 입고 있어요.</t>
  </si>
  <si>
    <t>p-0189</t>
  </si>
  <si>
    <t>He is wearing a heavy coat.</t>
  </si>
  <si>
    <t>그는 두꺼운 코트를 입고 있어요.</t>
  </si>
  <si>
    <t>p-0190</t>
  </si>
  <si>
    <t>Wear a glove, it's cold.</t>
  </si>
  <si>
    <t>장갑을 껴요, 추워요.</t>
  </si>
  <si>
    <t>p-0191</t>
  </si>
  <si>
    <t>I have a uniform.</t>
  </si>
  <si>
    <t>저는 교복이 하나 있어요.</t>
  </si>
  <si>
    <t>p-0192</t>
  </si>
  <si>
    <t>I have a scarf.</t>
  </si>
  <si>
    <t>저는 목도리가 하나 있어요.</t>
  </si>
  <si>
    <t>p-0193</t>
  </si>
  <si>
    <t>I have a button.</t>
  </si>
  <si>
    <t>저는 단추가 하나 있어요.</t>
  </si>
  <si>
    <t>p-0194</t>
  </si>
  <si>
    <t>I have a zipper.</t>
  </si>
  <si>
    <t>저는 지퍼가 하나 있어요.</t>
  </si>
  <si>
    <t>p-0195</t>
  </si>
  <si>
    <t>I have a fabric.</t>
  </si>
  <si>
    <t>저는 옷감이 하나 있어요.</t>
  </si>
  <si>
    <t>p-0196</t>
  </si>
  <si>
    <t>I have a fashion.</t>
  </si>
  <si>
    <t>저는 패션이 하나 있어요.</t>
  </si>
  <si>
    <t>p-0197</t>
  </si>
  <si>
    <t>I have a style.</t>
  </si>
  <si>
    <t>저는 스타일이 하나 있어요.</t>
  </si>
  <si>
    <t>p-0198</t>
  </si>
  <si>
    <t>I have an accessory.</t>
  </si>
  <si>
    <t>저는 액세서리가 하나 있어요.</t>
  </si>
  <si>
    <t>p-0199</t>
  </si>
  <si>
    <t>I have a wardrobe.</t>
  </si>
  <si>
    <t>저는 옷장이 하나 있어요.</t>
  </si>
  <si>
    <t>p-0200</t>
  </si>
  <si>
    <t>I have a textile.</t>
  </si>
  <si>
    <t>저는 직물이 하나 있어요.</t>
  </si>
  <si>
    <t>p-0201</t>
  </si>
  <si>
    <t>My head hurts.</t>
  </si>
  <si>
    <t>제 머리가 아파요.</t>
  </si>
  <si>
    <t>p-0202</t>
  </si>
  <si>
    <t>My hand is cold.</t>
  </si>
  <si>
    <t>제 손이 차가워요.</t>
  </si>
  <si>
    <t>p-0203</t>
  </si>
  <si>
    <t>My foot is cold.</t>
  </si>
  <si>
    <t>제 발이 차가워요.</t>
  </si>
  <si>
    <t>p-0204</t>
  </si>
  <si>
    <t>My eye hurts.</t>
  </si>
  <si>
    <t>제 눈이 아파요.</t>
  </si>
  <si>
    <t>p-0205</t>
  </si>
  <si>
    <t>My ear hurts.</t>
  </si>
  <si>
    <t>제 귀가 아파요.</t>
  </si>
  <si>
    <t>p-0206</t>
  </si>
  <si>
    <t>My arm hurts.</t>
  </si>
  <si>
    <t>제 팔이 아파요.</t>
  </si>
  <si>
    <t>p-0207</t>
  </si>
  <si>
    <t>My leg is tired.</t>
  </si>
  <si>
    <t>제 다리가 피곤해요.</t>
  </si>
  <si>
    <t>p-0208</t>
  </si>
  <si>
    <t>My finger hurts.</t>
  </si>
  <si>
    <t>제 손가락이 아파요.</t>
  </si>
  <si>
    <t>p-0209</t>
  </si>
  <si>
    <t>My nose is red.</t>
  </si>
  <si>
    <t>제 코가 빨개요.</t>
  </si>
  <si>
    <t>p-0210</t>
  </si>
  <si>
    <t>My mouth is dry.</t>
  </si>
  <si>
    <t>제 입이 말라요.</t>
  </si>
  <si>
    <t>p-0211</t>
  </si>
  <si>
    <t>My shoulder hurts.</t>
  </si>
  <si>
    <t>제 어깨가 아파요.</t>
  </si>
  <si>
    <t>p-0212</t>
  </si>
  <si>
    <t>My elbow hurts.</t>
  </si>
  <si>
    <t>제 팔꿈치가 아파요.</t>
  </si>
  <si>
    <t>p-0213</t>
  </si>
  <si>
    <t>My knee hurts.</t>
  </si>
  <si>
    <t>제 무릎이 아파요.</t>
  </si>
  <si>
    <t>p-0214</t>
  </si>
  <si>
    <t>My stomach hurts.</t>
  </si>
  <si>
    <t>제 배가 아파요.</t>
  </si>
  <si>
    <t>p-0215</t>
  </si>
  <si>
    <t>My chest hurts.</t>
  </si>
  <si>
    <t>제 가슴이 아파요.</t>
  </si>
  <si>
    <t>p-0216</t>
  </si>
  <si>
    <t>I have a skeleton.</t>
  </si>
  <si>
    <t>저는 골격이 하나 있어요.</t>
  </si>
  <si>
    <t>p-0217</t>
  </si>
  <si>
    <t>I have a muscle.</t>
  </si>
  <si>
    <t>저는 근육이 하나 있어요.</t>
  </si>
  <si>
    <t>p-0218</t>
  </si>
  <si>
    <t>I have an organ.</t>
  </si>
  <si>
    <t>저는 장기가 하나 있어요.</t>
  </si>
  <si>
    <t>p-0219</t>
  </si>
  <si>
    <t>I have a brain.</t>
  </si>
  <si>
    <t>저는 뇌가 하나 있어요.</t>
  </si>
  <si>
    <t>p-0220</t>
  </si>
  <si>
    <t>I have a nerve.</t>
  </si>
  <si>
    <t>저는 신경이 하나 있어요.</t>
  </si>
  <si>
    <t>p-0221</t>
  </si>
  <si>
    <t>I like running.</t>
  </si>
  <si>
    <t>저는 달리기를 좋아해요.</t>
  </si>
  <si>
    <t>p-0222</t>
  </si>
  <si>
    <t>I like jumping.</t>
  </si>
  <si>
    <t>저는 줄넘기를 좋아해요.</t>
  </si>
  <si>
    <t>p-0223</t>
  </si>
  <si>
    <t>I like swimming.</t>
  </si>
  <si>
    <t>저는 수영을 좋아해요.</t>
  </si>
  <si>
    <t>p-0224</t>
  </si>
  <si>
    <t>I have a ball.</t>
  </si>
  <si>
    <t>저는 공이 하나 있어요.</t>
  </si>
  <si>
    <t>p-0225</t>
  </si>
  <si>
    <t>I like playing soccer.</t>
  </si>
  <si>
    <t>저는 축구하는 것을 좋아해요.</t>
  </si>
  <si>
    <t>p-0226</t>
  </si>
  <si>
    <t>He likes playing baseball.</t>
  </si>
  <si>
    <t>그는 야구를 좋아해요.</t>
  </si>
  <si>
    <t>p-0227</t>
  </si>
  <si>
    <t>He likes playing basketball.</t>
  </si>
  <si>
    <t>그는 농구를 좋아해요.</t>
  </si>
  <si>
    <t>p-0228</t>
  </si>
  <si>
    <t>He likes playing badminton.</t>
  </si>
  <si>
    <t>그는 배드민턴을 좋아해요.</t>
  </si>
  <si>
    <t>p-0229</t>
  </si>
  <si>
    <t>I have a race.</t>
  </si>
  <si>
    <t>저는 경주가 하나 있어요.</t>
  </si>
  <si>
    <t>p-0230</t>
  </si>
  <si>
    <t>I have a team.</t>
  </si>
  <si>
    <t>저는 팀이 하나 있어요.</t>
  </si>
  <si>
    <t>p-0231</t>
  </si>
  <si>
    <t>I have an athlete.</t>
  </si>
  <si>
    <t>저는 운동선수가 하나 있어요.</t>
  </si>
  <si>
    <t>p-0232</t>
  </si>
  <si>
    <t>I have a coach.</t>
  </si>
  <si>
    <t>저는 코치가 하나 있어요.</t>
  </si>
  <si>
    <t>p-0233</t>
  </si>
  <si>
    <t>She exercises every morning.</t>
  </si>
  <si>
    <t>그녀는 매일 아침 운동해요.</t>
  </si>
  <si>
    <t>p-0234</t>
  </si>
  <si>
    <t>I have a stadium.</t>
  </si>
  <si>
    <t>저는 경기장이 하나 있어요.</t>
  </si>
  <si>
    <t>p-0235</t>
  </si>
  <si>
    <t>I have a referee.</t>
  </si>
  <si>
    <t>저는 심판이 하나 있어요.</t>
  </si>
  <si>
    <t>p-0236</t>
  </si>
  <si>
    <t>I have a champion.</t>
  </si>
  <si>
    <t>저는 챔피언이 하나 있어요.</t>
  </si>
  <si>
    <t>p-0237</t>
  </si>
  <si>
    <t>I have a tournament.</t>
  </si>
  <si>
    <t>저는 대회가 하나 있어요.</t>
  </si>
  <si>
    <t>p-0238</t>
  </si>
  <si>
    <t>Running builds much endurance.</t>
  </si>
  <si>
    <t>달리기는 많은 지구력을 길러줘요.</t>
  </si>
  <si>
    <t>p-0239</t>
  </si>
  <si>
    <t>I have a strategy.</t>
  </si>
  <si>
    <t>저는 전략이 하나 있어요.</t>
  </si>
  <si>
    <t>p-0240</t>
  </si>
  <si>
    <t>I have a competition.</t>
  </si>
  <si>
    <t>저는 경쟁이 하나 있어요.</t>
  </si>
  <si>
    <t>p-0241</t>
  </si>
  <si>
    <t>I enjoy drawing.</t>
  </si>
  <si>
    <t>저는 그림 그리기를 즐겨요.</t>
  </si>
  <si>
    <t>p-0242</t>
  </si>
  <si>
    <t>I enjoy singing.</t>
  </si>
  <si>
    <t>저는 노래하기를 즐겨요.</t>
  </si>
  <si>
    <t>p-0243</t>
  </si>
  <si>
    <t>I enjoy dancing.</t>
  </si>
  <si>
    <t>저는 춤추기를 즐겨요.</t>
  </si>
  <si>
    <t>p-0244</t>
  </si>
  <si>
    <t>I enjoy reading.</t>
  </si>
  <si>
    <t>저는 독서를 즐겨요.</t>
  </si>
  <si>
    <t>p-0245</t>
  </si>
  <si>
    <t>I enjoy playing.</t>
  </si>
  <si>
    <t>저는 놀기를 즐겨요.</t>
  </si>
  <si>
    <t>p-0246</t>
  </si>
  <si>
    <t>He enjoys painting.</t>
  </si>
  <si>
    <t>그는 그림 그리기를 즐겨요.</t>
  </si>
  <si>
    <t>p-0247</t>
  </si>
  <si>
    <t>He enjoys collecting stamps.</t>
  </si>
  <si>
    <t>그는 우표 수집을 즐겨요.</t>
  </si>
  <si>
    <t>p-0248</t>
  </si>
  <si>
    <t>I have a camera.</t>
  </si>
  <si>
    <t>저는 카메라가 하나 있어요.</t>
  </si>
  <si>
    <t>p-0249</t>
  </si>
  <si>
    <t>I have a puzzle.</t>
  </si>
  <si>
    <t>저는 퍼즐이 하나 있어요.</t>
  </si>
  <si>
    <t>p-0250</t>
  </si>
  <si>
    <t>He enjoys gardening.</t>
  </si>
  <si>
    <t>그는 정원 가꾸기를 즐겨요.</t>
  </si>
  <si>
    <t>p-0251</t>
  </si>
  <si>
    <t>I have a hobby.</t>
  </si>
  <si>
    <t>저는 취미가 하나 있어요.</t>
  </si>
  <si>
    <t>p-0252</t>
  </si>
  <si>
    <t>I have an instrument.</t>
  </si>
  <si>
    <t>저는 악기가 하나 있어요.</t>
  </si>
  <si>
    <t>p-0253</t>
  </si>
  <si>
    <t>She does much photography.</t>
  </si>
  <si>
    <t>그녀는 사진 촬영을 많이 해요.</t>
  </si>
  <si>
    <t>p-0254</t>
  </si>
  <si>
    <t>I have a craft.</t>
  </si>
  <si>
    <t>저는 공예가 하나 있어요.</t>
  </si>
  <si>
    <t>p-0255</t>
  </si>
  <si>
    <t>I have a collection.</t>
  </si>
  <si>
    <t>저는 수집품이 하나 있어요.</t>
  </si>
  <si>
    <t>p-0256</t>
  </si>
  <si>
    <t>Art class needs much creativity.</t>
  </si>
  <si>
    <t>미술 수업은 창의력이 많이 필요해요.</t>
  </si>
  <si>
    <t>p-0257</t>
  </si>
  <si>
    <t>He has much leisure time.</t>
  </si>
  <si>
    <t>그는 여가 시간이 많아요.</t>
  </si>
  <si>
    <t>p-0258</t>
  </si>
  <si>
    <t>I have a talent.</t>
  </si>
  <si>
    <t>저는 재능이 하나 있어요.</t>
  </si>
  <si>
    <t>p-0259</t>
  </si>
  <si>
    <t>I have a skill.</t>
  </si>
  <si>
    <t>저는 기술이 하나 있어요.</t>
  </si>
  <si>
    <t>p-0260</t>
  </si>
  <si>
    <t>I have a passion.</t>
  </si>
  <si>
    <t>저는 열정이 하나 있어요.</t>
  </si>
  <si>
    <t>p-0261</t>
  </si>
  <si>
    <t>I have a test on Monday.</t>
  </si>
  <si>
    <t>저는 월요일에 시험이 있어요.</t>
  </si>
  <si>
    <t>p-0262</t>
  </si>
  <si>
    <t>I have a test on Tuesday.</t>
  </si>
  <si>
    <t>저는 화요일에 시험이 있어요.</t>
  </si>
  <si>
    <t>p-0263</t>
  </si>
  <si>
    <t>Today is a sunny day.</t>
  </si>
  <si>
    <t>오늘은 맑은 날이에요.</t>
  </si>
  <si>
    <t>p-0264</t>
  </si>
  <si>
    <t>We will have a trip tomorrow.</t>
  </si>
  <si>
    <t>우리는 내일 소풍을 갈 거예요.</t>
  </si>
  <si>
    <t>p-0265</t>
  </si>
  <si>
    <t>It was rainy yesterday.</t>
  </si>
  <si>
    <t>어제는 비가 왔어요.</t>
  </si>
  <si>
    <t>p-0266</t>
  </si>
  <si>
    <t>I have a test on Wednesday.</t>
  </si>
  <si>
    <t>저는 수요일에 시험이 있어요.</t>
  </si>
  <si>
    <t>p-0267</t>
  </si>
  <si>
    <t>I have a test on Thursday.</t>
  </si>
  <si>
    <t>저는 목요일에 시험이 있어요.</t>
  </si>
  <si>
    <t>p-0268</t>
  </si>
  <si>
    <t>I have a test on Friday.</t>
  </si>
  <si>
    <t>저는 금요일에 시험이 있어요.</t>
  </si>
  <si>
    <t>p-0269</t>
  </si>
  <si>
    <t>We have five classes this week.</t>
  </si>
  <si>
    <t>이번 주에 수업이 다섯 개 있어요.</t>
  </si>
  <si>
    <t>p-0270</t>
  </si>
  <si>
    <t>I usually visit my grandparents on the weekend.</t>
  </si>
  <si>
    <t>저는 보통 주말에 조부모님을 뵈러 가요.</t>
  </si>
  <si>
    <t>p-0271</t>
  </si>
  <si>
    <t>I have a test on Saturday.</t>
  </si>
  <si>
    <t>저는 토요일에 시험이 있어요.</t>
  </si>
  <si>
    <t>p-0272</t>
  </si>
  <si>
    <t>I have a test on Sunday.</t>
  </si>
  <si>
    <t>저는 일요일에 시험이 있어요.</t>
  </si>
  <si>
    <t>p-0273</t>
  </si>
  <si>
    <t>I have a month.</t>
  </si>
  <si>
    <t>저는 달이 하나 있어요.</t>
  </si>
  <si>
    <t>p-0274</t>
  </si>
  <si>
    <t>I have a calendar.</t>
  </si>
  <si>
    <t>저는 달력이 하나 있어요.</t>
  </si>
  <si>
    <t>p-0275</t>
  </si>
  <si>
    <t>I have a planner.</t>
  </si>
  <si>
    <t>저는 계획표가 하나 있어요.</t>
  </si>
  <si>
    <t>p-0276</t>
  </si>
  <si>
    <t>I have a century.</t>
  </si>
  <si>
    <t>저는 세기가 하나 있어요.</t>
  </si>
  <si>
    <t>p-0277</t>
  </si>
  <si>
    <t>I have a decade.</t>
  </si>
  <si>
    <t>저는 십 년이 하나 있어요.</t>
  </si>
  <si>
    <t>p-0278</t>
  </si>
  <si>
    <t>I have an anniversary.</t>
  </si>
  <si>
    <t>저는 기념일이 하나 있어요.</t>
  </si>
  <si>
    <t>p-0279</t>
  </si>
  <si>
    <t>The homework deadline is always Friday.</t>
  </si>
  <si>
    <t>숙제 마감일은 항상 금요일이에요.</t>
  </si>
  <si>
    <t>p-0280</t>
  </si>
  <si>
    <t>She is always punctual.</t>
  </si>
  <si>
    <t>그녀는 항상 시간을 잘 지켜요.</t>
  </si>
  <si>
    <t>p-0281</t>
  </si>
  <si>
    <t>We go to school by car.</t>
  </si>
  <si>
    <t>우리는 자동차로 학교에 가요.</t>
  </si>
  <si>
    <t>p-0282</t>
  </si>
  <si>
    <t>We go to school by bus.</t>
  </si>
  <si>
    <t>우리는 버스로 학교에 가요.</t>
  </si>
  <si>
    <t>p-0283</t>
  </si>
  <si>
    <t>We go to school by bike.</t>
  </si>
  <si>
    <t>우리는 자전거로 학교에 가요.</t>
  </si>
  <si>
    <t>p-0284</t>
  </si>
  <si>
    <t>We travel by train.</t>
  </si>
  <si>
    <t>우리는 기차로 여행해요.</t>
  </si>
  <si>
    <t>p-0285</t>
  </si>
  <si>
    <t>We go home by taxi.</t>
  </si>
  <si>
    <t>우리는 택시로 집에 가요.</t>
  </si>
  <si>
    <t>p-0286</t>
  </si>
  <si>
    <t>We travel by subway.</t>
  </si>
  <si>
    <t>우리는 지하철로 여행해요.</t>
  </si>
  <si>
    <t>p-0287</t>
  </si>
  <si>
    <t>We travel by airplane.</t>
  </si>
  <si>
    <t>우리는 비행기로 여행해요.</t>
  </si>
  <si>
    <t>p-0288</t>
  </si>
  <si>
    <t>We travel by ship.</t>
  </si>
  <si>
    <t>우리는 배로 여행해요.</t>
  </si>
  <si>
    <t>p-0289</t>
  </si>
  <si>
    <t>We carry boxes by truck.</t>
  </si>
  <si>
    <t>우리는 트럭으로 박스를 날라요.</t>
  </si>
  <si>
    <t>p-0290</t>
  </si>
  <si>
    <t>We go to work by motorcycle.</t>
  </si>
  <si>
    <t>우리는 오토바이로 출근해요.</t>
  </si>
  <si>
    <t>p-0291</t>
  </si>
  <si>
    <t>There is much traffic today.</t>
  </si>
  <si>
    <t>오늘 교통량이 많아요.</t>
  </si>
  <si>
    <t>p-0292</t>
  </si>
  <si>
    <t>I have a passenger.</t>
  </si>
  <si>
    <t>저는 승객이 하나 있어요.</t>
  </si>
  <si>
    <t>p-0293</t>
  </si>
  <si>
    <t>I have a station.</t>
  </si>
  <si>
    <t>저는 역이 하나 있어요.</t>
  </si>
  <si>
    <t>p-0294</t>
  </si>
  <si>
    <t>I have a ticket.</t>
  </si>
  <si>
    <t>저는 표가 하나 있어요.</t>
  </si>
  <si>
    <t>p-0295</t>
  </si>
  <si>
    <t>I have a highway.</t>
  </si>
  <si>
    <t>저는 고속도로가 하나 있어요.</t>
  </si>
  <si>
    <t>p-0296</t>
  </si>
  <si>
    <t>I have a vehicle.</t>
  </si>
  <si>
    <t>저는 차량이 하나 있어요.</t>
  </si>
  <si>
    <t>p-0297</t>
  </si>
  <si>
    <t>Public transportation needs much support.</t>
  </si>
  <si>
    <t>대중교통수단은 많은 지원이 필요해요.</t>
  </si>
  <si>
    <t>p-0298</t>
  </si>
  <si>
    <t>I have a license.</t>
  </si>
  <si>
    <t>저는 면허가 하나 있어요.</t>
  </si>
  <si>
    <t>p-0299</t>
  </si>
  <si>
    <t>I have a pedestrian.</t>
  </si>
  <si>
    <t>저는 보행자가 하나 있어요.</t>
  </si>
  <si>
    <t>p-0300</t>
  </si>
  <si>
    <t>She commutes to work by subway.</t>
  </si>
  <si>
    <t>그녀는 지하철로 통근해요.</t>
  </si>
  <si>
    <t>p-0301</t>
  </si>
  <si>
    <t>I feel happy at home.</t>
  </si>
  <si>
    <t>저는 집에서 행복해요.</t>
  </si>
  <si>
    <t>p-0302</t>
  </si>
  <si>
    <t>We go to the park every day.</t>
  </si>
  <si>
    <t>우리는 공원에 가요.</t>
  </si>
  <si>
    <t>p-0303</t>
  </si>
  <si>
    <t>We go to the store every day.</t>
  </si>
  <si>
    <t>우리는 가게에 가요.</t>
  </si>
  <si>
    <t>p-0304</t>
  </si>
  <si>
    <t>We go to the playground every day.</t>
  </si>
  <si>
    <t>우리는 놀이터에 가요.</t>
  </si>
  <si>
    <t>p-0305</t>
  </si>
  <si>
    <t>We go to the zoo every day.</t>
  </si>
  <si>
    <t>우리는 동물원에 가요.</t>
  </si>
  <si>
    <t>p-0306</t>
  </si>
  <si>
    <t>We went to the hospital.</t>
  </si>
  <si>
    <t>우리는 병원에 갔어요.</t>
  </si>
  <si>
    <t>p-0307</t>
  </si>
  <si>
    <t>We went to the market.</t>
  </si>
  <si>
    <t>우리는 시장에 갔어요.</t>
  </si>
  <si>
    <t>p-0308</t>
  </si>
  <si>
    <t>We went to the bakery.</t>
  </si>
  <si>
    <t>우리는 빵집에 갔어요.</t>
  </si>
  <si>
    <t>p-0309</t>
  </si>
  <si>
    <t>We went to the bank.</t>
  </si>
  <si>
    <t>우리는 은행에 갔어요.</t>
  </si>
  <si>
    <t>p-0310</t>
  </si>
  <si>
    <t>We went to the restaurant.</t>
  </si>
  <si>
    <t>우리는 식당에 갔어요.</t>
  </si>
  <si>
    <t>p-0311</t>
  </si>
  <si>
    <t>We went to the museum.</t>
  </si>
  <si>
    <t>우리는 박물관에 갔어요.</t>
  </si>
  <si>
    <t>p-0312</t>
  </si>
  <si>
    <t>We went shopping downtown.</t>
  </si>
  <si>
    <t>우리는 시내로 쇼핑하러 갔어요.</t>
  </si>
  <si>
    <t>p-0313</t>
  </si>
  <si>
    <t>I have a neighborhood.</t>
  </si>
  <si>
    <t>저는 동네가 하나 있어요.</t>
  </si>
  <si>
    <t>p-0314</t>
  </si>
  <si>
    <t>We went to the church.</t>
  </si>
  <si>
    <t>우리는 교회에 갔어요.</t>
  </si>
  <si>
    <t>p-0315</t>
  </si>
  <si>
    <t>We went to the theater.</t>
  </si>
  <si>
    <t>우리는 극장에 갔어요.</t>
  </si>
  <si>
    <t>p-0316</t>
  </si>
  <si>
    <t>I have a community.</t>
  </si>
  <si>
    <t>저는 지역사회가 하나 있어요.</t>
  </si>
  <si>
    <t>p-0317</t>
  </si>
  <si>
    <t>I have a facility.</t>
  </si>
  <si>
    <t>저는 시설이 하나 있어요.</t>
  </si>
  <si>
    <t>p-0318</t>
  </si>
  <si>
    <t>I have a landmark.</t>
  </si>
  <si>
    <t>저는 랜드마크가 하나 있어요.</t>
  </si>
  <si>
    <t>p-0319</t>
  </si>
  <si>
    <t>Seoul is urban.</t>
  </si>
  <si>
    <t>서울은 도시적이에요.</t>
  </si>
  <si>
    <t>p-0320</t>
  </si>
  <si>
    <t>I have a suburb.</t>
  </si>
  <si>
    <t>저는 교외가 하나 있어요.</t>
  </si>
  <si>
    <t>p-0321</t>
  </si>
  <si>
    <t>My uncle is a doctor.</t>
  </si>
  <si>
    <t>제 삼촌은 의사예요.</t>
  </si>
  <si>
    <t>p-0322</t>
  </si>
  <si>
    <t>My uncle is a nurse.</t>
  </si>
  <si>
    <t>제 삼촌은 간호사예요.</t>
  </si>
  <si>
    <t>p-0323</t>
  </si>
  <si>
    <t>My uncle is a farmer.</t>
  </si>
  <si>
    <t>제 삼촌은 농부예요.</t>
  </si>
  <si>
    <t>p-0324</t>
  </si>
  <si>
    <t>My uncle is a cook.</t>
  </si>
  <si>
    <t>제 삼촌은 요리사예요.</t>
  </si>
  <si>
    <t>p-0325</t>
  </si>
  <si>
    <t>My aunt is a police officer.</t>
  </si>
  <si>
    <t>제 이모는 경찰관이에요.</t>
  </si>
  <si>
    <t>p-0326</t>
  </si>
  <si>
    <t>My uncle is a firefighter.</t>
  </si>
  <si>
    <t>제 삼촌은 소방관예요.</t>
  </si>
  <si>
    <t>p-0327</t>
  </si>
  <si>
    <t>My uncle is a pilot.</t>
  </si>
  <si>
    <t>제 삼촌은 조종사예요.</t>
  </si>
  <si>
    <t>p-0328</t>
  </si>
  <si>
    <t>My uncle is a singer.</t>
  </si>
  <si>
    <t>제 삼촌은 가수예요.</t>
  </si>
  <si>
    <t>p-0329</t>
  </si>
  <si>
    <t>My uncle is a dancer.</t>
  </si>
  <si>
    <t>제 삼촌은 무용수예요.</t>
  </si>
  <si>
    <t>p-0330</t>
  </si>
  <si>
    <t>My uncle is an artist.</t>
  </si>
  <si>
    <t>제 삼촌은 예술가예요.</t>
  </si>
  <si>
    <t>p-0331</t>
  </si>
  <si>
    <t>My uncle is an engineer.</t>
  </si>
  <si>
    <t>제 삼촌은 엔지니어예요.</t>
  </si>
  <si>
    <t>p-0332</t>
  </si>
  <si>
    <t>My uncle is a scientist.</t>
  </si>
  <si>
    <t>제 삼촌은 과학자예요.</t>
  </si>
  <si>
    <t>p-0333</t>
  </si>
  <si>
    <t>My uncle is a designer.</t>
  </si>
  <si>
    <t>제 삼촌은 디자이너예요.</t>
  </si>
  <si>
    <t>p-0334</t>
  </si>
  <si>
    <t>My uncle is a writer.</t>
  </si>
  <si>
    <t>제 삼촌은 작가예요.</t>
  </si>
  <si>
    <t>p-0335</t>
  </si>
  <si>
    <t>My uncle is a photographer.</t>
  </si>
  <si>
    <t>제 삼촌은 사진작가예요.</t>
  </si>
  <si>
    <t>p-0336</t>
  </si>
  <si>
    <t>I have a profession.</t>
  </si>
  <si>
    <t>저는 직업이 하나 있어요.</t>
  </si>
  <si>
    <t>p-0337</t>
  </si>
  <si>
    <t>I have a career.</t>
  </si>
  <si>
    <t>저는 경력이 하나 있어요.</t>
  </si>
  <si>
    <t>p-0338</t>
  </si>
  <si>
    <t>I have an occupation.</t>
  </si>
  <si>
    <t>p-0339</t>
  </si>
  <si>
    <t>I have an employee.</t>
  </si>
  <si>
    <t>저는 직원이 하나 있어요.</t>
  </si>
  <si>
    <t>p-0340</t>
  </si>
  <si>
    <t>She wants to be an entrepreneur.</t>
  </si>
  <si>
    <t>그녀는 사업가가 되고 싶어해요.</t>
  </si>
  <si>
    <t>p-0341</t>
  </si>
  <si>
    <t>I am happy today.</t>
  </si>
  <si>
    <t>저는 오늘 행복해요.</t>
  </si>
  <si>
    <t>p-0342</t>
  </si>
  <si>
    <t>I am sad today.</t>
  </si>
  <si>
    <t>저는 오늘 슬퍼요.</t>
  </si>
  <si>
    <t>p-0343</t>
  </si>
  <si>
    <t>I am angry today.</t>
  </si>
  <si>
    <t>저는 오늘 화나요.</t>
  </si>
  <si>
    <t>p-0344</t>
  </si>
  <si>
    <t>I am tired today.</t>
  </si>
  <si>
    <t>저는 오늘 피곤해요.</t>
  </si>
  <si>
    <t>p-0345</t>
  </si>
  <si>
    <t>I am hungry today.</t>
  </si>
  <si>
    <t>저는 오늘 배고파요.</t>
  </si>
  <si>
    <t>p-0346</t>
  </si>
  <si>
    <t>I am excited today.</t>
  </si>
  <si>
    <t>저는 오늘 신나요.</t>
  </si>
  <si>
    <t>p-0347</t>
  </si>
  <si>
    <t>She is scared of the dark.</t>
  </si>
  <si>
    <t>그녀는 어둠을 무서워해요.</t>
  </si>
  <si>
    <t>p-0348</t>
  </si>
  <si>
    <t>I am surprised today.</t>
  </si>
  <si>
    <t>저는 오늘 놀라요.</t>
  </si>
  <si>
    <t>p-0349</t>
  </si>
  <si>
    <t>I am bored today.</t>
  </si>
  <si>
    <t>저는 오늘 지루해요.</t>
  </si>
  <si>
    <t>p-0350</t>
  </si>
  <si>
    <t>I am nervous today.</t>
  </si>
  <si>
    <t>저는 오늘 긴장돼요.</t>
  </si>
  <si>
    <t>p-0351</t>
  </si>
  <si>
    <t>She is proud of her son.</t>
  </si>
  <si>
    <t>그녀는 아들에 대해 자랑스러워해요.</t>
  </si>
  <si>
    <t>p-0352</t>
  </si>
  <si>
    <t>She is worried about the exam.</t>
  </si>
  <si>
    <t>그녀는 시험에 대해 걱정해요.</t>
  </si>
  <si>
    <t>p-0353</t>
  </si>
  <si>
    <t>She is jealous of his friend.</t>
  </si>
  <si>
    <t>그녀는 친구에 대해 질투해요.</t>
  </si>
  <si>
    <t>p-0354</t>
  </si>
  <si>
    <t>She is confident about her speech.</t>
  </si>
  <si>
    <t>그녀는 발표에 대해 자신있어해요.</t>
  </si>
  <si>
    <t>p-0355</t>
  </si>
  <si>
    <t>She is disappointed with the result.</t>
  </si>
  <si>
    <t>그녀는 결과에 대해 실망해요.</t>
  </si>
  <si>
    <t>p-0356</t>
  </si>
  <si>
    <t>I have an emotion.</t>
  </si>
  <si>
    <t>저는 감정이 하나 있어요.</t>
  </si>
  <si>
    <t>p-0357</t>
  </si>
  <si>
    <t>She felt anxious about the interview.</t>
  </si>
  <si>
    <t>그녀는 면접에 대해 불안해했어요.</t>
  </si>
  <si>
    <t>p-0358</t>
  </si>
  <si>
    <t>He was too embarrassed to speak.</t>
  </si>
  <si>
    <t>그는 너무 당황해서 말을 못 했어요.</t>
  </si>
  <si>
    <t>p-0359</t>
  </si>
  <si>
    <t>I am grateful for my friends.</t>
  </si>
  <si>
    <t>저는 친구들에게 감사해요.</t>
  </si>
  <si>
    <t>p-0360</t>
  </si>
  <si>
    <t>He felt too frustrated to continue.</t>
  </si>
  <si>
    <t>그는 너무 좌절해서 계속할 수 없었어요.</t>
  </si>
  <si>
    <t>p-0361</t>
  </si>
  <si>
    <t>She buys a new toy.</t>
  </si>
  <si>
    <t>그녀는 새 장난감을 사요.</t>
  </si>
  <si>
    <t>p-0362</t>
  </si>
  <si>
    <t>The store sells fresh fruit.</t>
  </si>
  <si>
    <t>그 가게는 신선한 과일을 팔아요.</t>
  </si>
  <si>
    <t>p-0363</t>
  </si>
  <si>
    <t>I saved much money.</t>
  </si>
  <si>
    <t>저는 돈을 많이 모았어요.</t>
  </si>
  <si>
    <t>p-0364</t>
  </si>
  <si>
    <t>How much is this shirt?</t>
  </si>
  <si>
    <t>이 셔츠는 얼마예요?</t>
  </si>
  <si>
    <t>p-0365</t>
  </si>
  <si>
    <t>I have a shop.</t>
  </si>
  <si>
    <t>저는 상점이 하나 있어요.</t>
  </si>
  <si>
    <t>p-0366</t>
  </si>
  <si>
    <t>I paid much cash.</t>
  </si>
  <si>
    <t>저는 현금을 많이 냈어요.</t>
  </si>
  <si>
    <t>p-0367</t>
  </si>
  <si>
    <t>I have a coin.</t>
  </si>
  <si>
    <t>저는 동전이 하나 있어요.</t>
  </si>
  <si>
    <t>p-0368</t>
  </si>
  <si>
    <t>I have a bill.</t>
  </si>
  <si>
    <t>저는 지폐가 하나 있어요.</t>
  </si>
  <si>
    <t>p-0369</t>
  </si>
  <si>
    <t>I have a receipt.</t>
  </si>
  <si>
    <t>저는 영수증이 하나 있어요.</t>
  </si>
  <si>
    <t>p-0370</t>
  </si>
  <si>
    <t>I have a discount.</t>
  </si>
  <si>
    <t>저는 할인이 하나 있어요.</t>
  </si>
  <si>
    <t>p-0371</t>
  </si>
  <si>
    <t>I have a customer.</t>
  </si>
  <si>
    <t>저는 고객이 하나 있어요.</t>
  </si>
  <si>
    <t>p-0372</t>
  </si>
  <si>
    <t>I have a cashier.</t>
  </si>
  <si>
    <t>저는 계산원이 하나 있어요.</t>
  </si>
  <si>
    <t>p-0373</t>
  </si>
  <si>
    <t>I have a cart.</t>
  </si>
  <si>
    <t>저는 카트가 하나 있어요.</t>
  </si>
  <si>
    <t>p-0374</t>
  </si>
  <si>
    <t>I have a mall.</t>
  </si>
  <si>
    <t>저는 쇼핑몰이 하나 있어요.</t>
  </si>
  <si>
    <t>p-0375</t>
  </si>
  <si>
    <t>He likes bargaining for a lower price.</t>
  </si>
  <si>
    <t>그는 흥정하는 것을 좋아해요.</t>
  </si>
  <si>
    <t>p-0376</t>
  </si>
  <si>
    <t>How much is our budget?</t>
  </si>
  <si>
    <t>우리 예산이 얼마예요?</t>
  </si>
  <si>
    <t>p-0377</t>
  </si>
  <si>
    <t>I have an expense.</t>
  </si>
  <si>
    <t>저는 지출이 하나 있어요.</t>
  </si>
  <si>
    <t>p-0378</t>
  </si>
  <si>
    <t>I have a refund.</t>
  </si>
  <si>
    <t>저는 환불이 하나 있어요.</t>
  </si>
  <si>
    <t>p-0379</t>
  </si>
  <si>
    <t>I have a purchase.</t>
  </si>
  <si>
    <t>저는 구매가 하나 있어요.</t>
  </si>
  <si>
    <t>p-0380</t>
  </si>
  <si>
    <t>I have a consumer.</t>
  </si>
  <si>
    <t>저는 소비자가 하나 있어요.</t>
  </si>
  <si>
    <t>p-0381</t>
  </si>
  <si>
    <t>The house is in the neighborhood.</t>
  </si>
  <si>
    <t>집이 동네에 있어요.</t>
  </si>
  <si>
    <t>p-0382</t>
  </si>
  <si>
    <t>The room is in the house.</t>
  </si>
  <si>
    <t>방이 집에 있어요.</t>
  </si>
  <si>
    <t>p-0383</t>
  </si>
  <si>
    <t>The bed is in the bedroom.</t>
  </si>
  <si>
    <t>침대가 침실에 있어요.</t>
  </si>
  <si>
    <t>p-0384</t>
  </si>
  <si>
    <t>The table is on the floor.</t>
  </si>
  <si>
    <t>탁자가 바닥에 있어요.</t>
  </si>
  <si>
    <t>p-0385</t>
  </si>
  <si>
    <t>The door is on the left.</t>
  </si>
  <si>
    <t>문이 왼쪽에 있어요.</t>
  </si>
  <si>
    <t>p-0386</t>
  </si>
  <si>
    <t>I have a kitchen.</t>
  </si>
  <si>
    <t>저는 부엌이 하나 있어요.</t>
  </si>
  <si>
    <t>p-0387</t>
  </si>
  <si>
    <t>I have a bathroom.</t>
  </si>
  <si>
    <t>저는 욕실이 하나 있어요.</t>
  </si>
  <si>
    <t>p-0388</t>
  </si>
  <si>
    <t>I have a window.</t>
  </si>
  <si>
    <t>저는 창문이 하나 있어요.</t>
  </si>
  <si>
    <t>p-0389</t>
  </si>
  <si>
    <t>I have a sofa.</t>
  </si>
  <si>
    <t>저는 소파가 하나 있어요.</t>
  </si>
  <si>
    <t>p-0390</t>
  </si>
  <si>
    <t>I have a lamp.</t>
  </si>
  <si>
    <t>저는 램프가 하나 있어요.</t>
  </si>
  <si>
    <t>p-0391</t>
  </si>
  <si>
    <t>We bought much new furniture.</t>
  </si>
  <si>
    <t>우리는 새 가구를 많이 샀어요.</t>
  </si>
  <si>
    <t>p-0392</t>
  </si>
  <si>
    <t>The car is in the garage.</t>
  </si>
  <si>
    <t>차는 차고 안에 있어요.</t>
  </si>
  <si>
    <t>p-0393</t>
  </si>
  <si>
    <t>Snow is on the roof.</t>
  </si>
  <si>
    <t>지붕 위에 눈이 있어요.</t>
  </si>
  <si>
    <t>p-0394</t>
  </si>
  <si>
    <t>The pictures hang in the hallway.</t>
  </si>
  <si>
    <t>그림들이 복도에 걸려 있어요.</t>
  </si>
  <si>
    <t>p-0395</t>
  </si>
  <si>
    <t>I hung my coat in the closet.</t>
  </si>
  <si>
    <t>저는 옷장 안에 코트를 걸었어요.</t>
  </si>
  <si>
    <t>p-0396</t>
  </si>
  <si>
    <t>I have a residence.</t>
  </si>
  <si>
    <t>저는 거주지가 하나 있어요.</t>
  </si>
  <si>
    <t>p-0397</t>
  </si>
  <si>
    <t>She studies much architecture.</t>
  </si>
  <si>
    <t>그녀는 건축을 많이 공부해요.</t>
  </si>
  <si>
    <t>p-0398</t>
  </si>
  <si>
    <t>I have a structure.</t>
  </si>
  <si>
    <t>저는 구조가 하나 있어요.</t>
  </si>
  <si>
    <t>p-0399</t>
  </si>
  <si>
    <t>I have an interior.</t>
  </si>
  <si>
    <t>저는 실내가 하나 있어요.</t>
  </si>
  <si>
    <t>p-0400</t>
  </si>
  <si>
    <t>Their new apartment is spacious.</t>
  </si>
  <si>
    <t>그들의 새 아파트는 넓어요.</t>
  </si>
  <si>
    <r>
      <rPr>
        <sz val="9"/>
        <color rgb="FF666666"/>
        <rFont val="Arial"/>
        <family val="2"/>
        <charset val="1"/>
      </rPr>
      <t>※ A~G</t>
    </r>
    <r>
      <rPr>
        <sz val="9"/>
        <color rgb="FF666666"/>
        <rFont val="Noto Sans CJK SC"/>
        <family val="2"/>
      </rPr>
      <t xml:space="preserve">열이 </t>
    </r>
    <r>
      <rPr>
        <sz val="9"/>
        <color rgb="FF666666"/>
        <rFont val="Arial"/>
        <family val="2"/>
        <charset val="1"/>
      </rPr>
      <t xml:space="preserve">patterns.csv </t>
    </r>
    <r>
      <rPr>
        <sz val="9"/>
        <color rgb="FF666666"/>
        <rFont val="Noto Sans CJK SC"/>
        <family val="2"/>
      </rPr>
      <t>납품 컬럼</t>
    </r>
    <r>
      <rPr>
        <sz val="9"/>
        <color rgb="FF666666"/>
        <rFont val="Arial"/>
        <family val="2"/>
        <charset val="1"/>
      </rPr>
      <t xml:space="preserve">. </t>
    </r>
    <r>
      <rPr>
        <sz val="9"/>
        <color rgb="FF666666"/>
        <rFont val="Noto Sans CJK SC"/>
        <family val="2"/>
      </rPr>
      <t xml:space="preserve">목표 </t>
    </r>
    <r>
      <rPr>
        <sz val="9"/>
        <color rgb="FF666666"/>
        <rFont val="Arial"/>
        <family val="2"/>
        <charset val="1"/>
      </rPr>
      <t>400</t>
    </r>
    <r>
      <rPr>
        <sz val="9"/>
        <color rgb="FF666666"/>
        <rFont val="Noto Sans CJK SC"/>
        <family val="2"/>
      </rPr>
      <t>개</t>
    </r>
    <r>
      <rPr>
        <sz val="9"/>
        <color rgb="FF666666"/>
        <rFont val="Arial"/>
        <family val="2"/>
        <charset val="1"/>
      </rPr>
      <t xml:space="preserve">(Unit01~20 </t>
    </r>
    <r>
      <rPr>
        <sz val="9"/>
        <color rgb="FF666666"/>
        <rFont val="Noto Sans CJK SC"/>
        <family val="2"/>
      </rPr>
      <t>확장 세트</t>
    </r>
    <r>
      <rPr>
        <sz val="9"/>
        <color rgb="FF666666"/>
        <rFont val="Arial"/>
        <family val="2"/>
        <charset val="1"/>
      </rPr>
      <t xml:space="preserve">, </t>
    </r>
    <r>
      <rPr>
        <sz val="9"/>
        <color rgb="FF666666"/>
        <rFont val="Noto Sans CJK SC"/>
        <family val="2"/>
      </rPr>
      <t xml:space="preserve">단어당 </t>
    </r>
    <r>
      <rPr>
        <sz val="9"/>
        <color rgb="FF666666"/>
        <rFont val="Arial"/>
        <family val="2"/>
        <charset val="1"/>
      </rPr>
      <t>1</t>
    </r>
    <r>
      <rPr>
        <sz val="9"/>
        <color rgb="FF666666"/>
        <rFont val="Noto Sans CJK SC"/>
        <family val="2"/>
      </rPr>
      <t>문장</t>
    </r>
    <r>
      <rPr>
        <sz val="9"/>
        <color rgb="FF666666"/>
        <rFont val="Arial"/>
        <family val="2"/>
        <charset val="1"/>
      </rPr>
      <t xml:space="preserve">). </t>
    </r>
    <r>
      <rPr>
        <sz val="9"/>
        <color rgb="FF666666"/>
        <rFont val="Noto Sans CJK SC"/>
        <family val="2"/>
      </rPr>
      <t xml:space="preserve">기존 </t>
    </r>
    <r>
      <rPr>
        <sz val="9"/>
        <color rgb="FF666666"/>
        <rFont val="Arial"/>
        <family val="2"/>
        <charset val="1"/>
      </rPr>
      <t>U3~U5</t>
    </r>
    <r>
      <rPr>
        <sz val="9"/>
        <color rgb="FF666666"/>
        <rFont val="Noto Sans CJK SC"/>
        <family val="2"/>
      </rPr>
      <t xml:space="preserve">용 예시 </t>
    </r>
    <r>
      <rPr>
        <sz val="9"/>
        <color rgb="FF666666"/>
        <rFont val="Arial"/>
        <family val="2"/>
        <charset val="1"/>
      </rPr>
      <t>7</t>
    </r>
    <r>
      <rPr>
        <sz val="9"/>
        <color rgb="FF666666"/>
        <rFont val="Noto Sans CJK SC"/>
        <family val="2"/>
      </rPr>
      <t>개는 정리 과정에서 제거함</t>
    </r>
    <r>
      <rPr>
        <sz val="9"/>
        <color rgb="FF666666"/>
        <rFont val="Arial"/>
        <family val="2"/>
        <charset val="1"/>
      </rPr>
      <t xml:space="preserve">. tip </t>
    </r>
    <r>
      <rPr>
        <sz val="9"/>
        <color rgb="FF666666"/>
        <rFont val="Noto Sans CJK SC"/>
        <family val="2"/>
      </rPr>
      <t xml:space="preserve">은 </t>
    </r>
    <r>
      <rPr>
        <sz val="9"/>
        <color rgb="FF666666"/>
        <rFont val="Arial"/>
        <family val="2"/>
        <charset val="1"/>
      </rPr>
      <t xml:space="preserve">01_rules </t>
    </r>
    <r>
      <rPr>
        <sz val="9"/>
        <color rgb="FF666666"/>
        <rFont val="Noto Sans CJK SC"/>
        <family val="2"/>
      </rPr>
      <t xml:space="preserve">의 </t>
    </r>
    <r>
      <rPr>
        <sz val="9"/>
        <color rgb="FF666666"/>
        <rFont val="Arial"/>
        <family val="2"/>
        <charset val="1"/>
      </rPr>
      <t xml:space="preserve">short </t>
    </r>
    <r>
      <rPr>
        <sz val="9"/>
        <color rgb="FF666666"/>
        <rFont val="Noto Sans CJK SC"/>
        <family val="2"/>
      </rPr>
      <t>와 같은 문구를 쓰는 것이 좋다 — 패턴 카드와 규칙 설명이 다른 말을 하면 학생이 헷갈린다</t>
    </r>
    <r>
      <rPr>
        <sz val="9"/>
        <color rgb="FF666666"/>
        <rFont val="Arial"/>
        <family val="2"/>
        <charset val="1"/>
      </rPr>
      <t xml:space="preserve">. chk_unit </t>
    </r>
    <r>
      <rPr>
        <sz val="9"/>
        <color rgb="FF666666"/>
        <rFont val="Noto Sans CJK SC"/>
        <family val="2"/>
      </rPr>
      <t xml:space="preserve">은 이 패턴의 </t>
    </r>
    <r>
      <rPr>
        <sz val="9"/>
        <color rgb="FF666666"/>
        <rFont val="Arial"/>
        <family val="2"/>
        <charset val="1"/>
      </rPr>
      <t xml:space="preserve">rule_id </t>
    </r>
    <r>
      <rPr>
        <sz val="9"/>
        <color rgb="FF666666"/>
        <rFont val="Noto Sans CJK SC"/>
        <family val="2"/>
      </rPr>
      <t xml:space="preserve">가 해당 </t>
    </r>
    <r>
      <rPr>
        <sz val="9"/>
        <color rgb="FF666666"/>
        <rFont val="Arial"/>
        <family val="2"/>
        <charset val="1"/>
      </rPr>
      <t xml:space="preserve">Unit </t>
    </r>
    <r>
      <rPr>
        <sz val="9"/>
        <color rgb="FF666666"/>
        <rFont val="Noto Sans CJK SC"/>
        <family val="2"/>
      </rPr>
      <t xml:space="preserve">의 </t>
    </r>
    <r>
      <rPr>
        <sz val="9"/>
        <color rgb="FF666666"/>
        <rFont val="Arial"/>
        <family val="2"/>
        <charset val="1"/>
      </rPr>
      <t xml:space="preserve">rule_ids </t>
    </r>
    <r>
      <rPr>
        <sz val="9"/>
        <color rgb="FF666666"/>
        <rFont val="Noto Sans CJK SC"/>
        <family val="2"/>
      </rPr>
      <t>안에 있는지 본다</t>
    </r>
    <r>
      <rPr>
        <sz val="9"/>
        <color rgb="FF666666"/>
        <rFont val="Arial"/>
        <family val="2"/>
        <charset val="1"/>
      </rPr>
      <t>.</t>
    </r>
  </si>
  <si>
    <t>word</t>
  </si>
  <si>
    <t>example</t>
  </si>
  <si>
    <t>ncic</t>
  </si>
  <si>
    <t>yle_level</t>
  </si>
  <si>
    <t>word_length</t>
  </si>
  <si>
    <t>w-0001</t>
  </si>
  <si>
    <t>hello</t>
  </si>
  <si>
    <t>안녕</t>
  </si>
  <si>
    <t>AI 생성(주제별 큐레이션)</t>
  </si>
  <si>
    <t>w-0002</t>
  </si>
  <si>
    <t>hi</t>
  </si>
  <si>
    <t>w-0003</t>
  </si>
  <si>
    <t>bye</t>
  </si>
  <si>
    <t>안녕(헤어질 때)</t>
  </si>
  <si>
    <t>Bye, see you!</t>
  </si>
  <si>
    <t>w-0004</t>
  </si>
  <si>
    <t>morning</t>
  </si>
  <si>
    <t>아침</t>
  </si>
  <si>
    <t>w-0005</t>
  </si>
  <si>
    <t>night</t>
  </si>
  <si>
    <t>밤</t>
  </si>
  <si>
    <t>w-0006</t>
  </si>
  <si>
    <t>goodbye</t>
  </si>
  <si>
    <t>잘 가</t>
  </si>
  <si>
    <t>w-0007</t>
  </si>
  <si>
    <t>thanks</t>
  </si>
  <si>
    <t>고마워</t>
  </si>
  <si>
    <t>Thanks a lot!</t>
  </si>
  <si>
    <t>w-0008</t>
  </si>
  <si>
    <t>sorry</t>
  </si>
  <si>
    <t>미안해</t>
  </si>
  <si>
    <t>w-0009</t>
  </si>
  <si>
    <t>please</t>
  </si>
  <si>
    <t>부탁해요</t>
  </si>
  <si>
    <t>Please help me.</t>
  </si>
  <si>
    <t>w-0010</t>
  </si>
  <si>
    <t>welcome</t>
  </si>
  <si>
    <t>환영하다</t>
  </si>
  <si>
    <t>Welcome to my house.</t>
  </si>
  <si>
    <t>w-0011</t>
  </si>
  <si>
    <t>greet</t>
  </si>
  <si>
    <t>인사하다</t>
  </si>
  <si>
    <t>I greet my teacher every morning.</t>
  </si>
  <si>
    <t>w-0012</t>
  </si>
  <si>
    <t>introduce</t>
  </si>
  <si>
    <t>소개하다</t>
  </si>
  <si>
    <t>Let me introduce my friend.</t>
  </si>
  <si>
    <t>w-0013</t>
  </si>
  <si>
    <t>apologize</t>
  </si>
  <si>
    <t>사과하다</t>
  </si>
  <si>
    <t>I want to apologize to you.</t>
  </si>
  <si>
    <t>w-0014</t>
  </si>
  <si>
    <t>thank</t>
  </si>
  <si>
    <t>감사하다</t>
  </si>
  <si>
    <t>I thank my parents every day.</t>
  </si>
  <si>
    <t>w-0015</t>
  </si>
  <si>
    <t>invite</t>
  </si>
  <si>
    <t>초대하다</t>
  </si>
  <si>
    <t>I will invite my friends to the party.</t>
  </si>
  <si>
    <t>w-0016</t>
  </si>
  <si>
    <t>appreciate</t>
  </si>
  <si>
    <t>감사히 여기다</t>
  </si>
  <si>
    <t>I really appreciate your help.</t>
  </si>
  <si>
    <t>w-0017</t>
  </si>
  <si>
    <t>farewell</t>
  </si>
  <si>
    <t>작별</t>
  </si>
  <si>
    <t>We said our farewell at the airport.</t>
  </si>
  <si>
    <t>w-0018</t>
  </si>
  <si>
    <t>greeting</t>
  </si>
  <si>
    <t>인사(말)</t>
  </si>
  <si>
    <t>A smile is a warm greeting.</t>
  </si>
  <si>
    <t>w-0019</t>
  </si>
  <si>
    <t>polite</t>
  </si>
  <si>
    <t>예의바른</t>
  </si>
  <si>
    <t>She is very polite to everyone.</t>
  </si>
  <si>
    <t>w-0020</t>
  </si>
  <si>
    <t>formal</t>
  </si>
  <si>
    <t>격식있는</t>
  </si>
  <si>
    <t>He wrote a formal letter to the school.</t>
  </si>
  <si>
    <t>w-0021</t>
  </si>
  <si>
    <t>mom</t>
  </si>
  <si>
    <t>엄마</t>
  </si>
  <si>
    <t>I love my mom.</t>
  </si>
  <si>
    <t>w-0022</t>
  </si>
  <si>
    <t>dad</t>
  </si>
  <si>
    <t>아빠</t>
  </si>
  <si>
    <t>My dad is tall.</t>
  </si>
  <si>
    <t>w-0023</t>
  </si>
  <si>
    <t>sister</t>
  </si>
  <si>
    <t>언니/누나/여동생</t>
  </si>
  <si>
    <t>My sister is kind.</t>
  </si>
  <si>
    <t>w-0024</t>
  </si>
  <si>
    <t>brother</t>
  </si>
  <si>
    <t>형/오빠/남동생</t>
  </si>
  <si>
    <t>My brother likes soccer.</t>
  </si>
  <si>
    <t>w-0025</t>
  </si>
  <si>
    <t>baby</t>
  </si>
  <si>
    <t>아기</t>
  </si>
  <si>
    <t>The baby is sleeping.</t>
  </si>
  <si>
    <t>w-0026</t>
  </si>
  <si>
    <t>grandmother</t>
  </si>
  <si>
    <t>할머니</t>
  </si>
  <si>
    <t>My grandmother bakes cookies.</t>
  </si>
  <si>
    <t>w-0027</t>
  </si>
  <si>
    <t>grandfather</t>
  </si>
  <si>
    <t>할아버지</t>
  </si>
  <si>
    <t>My grandfather tells funny stories.</t>
  </si>
  <si>
    <t>w-0028</t>
  </si>
  <si>
    <t>aunt</t>
  </si>
  <si>
    <t>이모/고모</t>
  </si>
  <si>
    <t>My aunt lives in Seoul.</t>
  </si>
  <si>
    <t>w-0029</t>
  </si>
  <si>
    <t>uncle</t>
  </si>
  <si>
    <t>삼촌</t>
  </si>
  <si>
    <t>My uncle drives a truck.</t>
  </si>
  <si>
    <t>w-0030</t>
  </si>
  <si>
    <t>cousin</t>
  </si>
  <si>
    <t>사촌</t>
  </si>
  <si>
    <t>My cousin visits us every summer.</t>
  </si>
  <si>
    <t>w-0031</t>
  </si>
  <si>
    <t>parents</t>
  </si>
  <si>
    <t>부모님</t>
  </si>
  <si>
    <t>My parents work hard every day.</t>
  </si>
  <si>
    <t>w-0032</t>
  </si>
  <si>
    <t>family</t>
  </si>
  <si>
    <t>가족</t>
  </si>
  <si>
    <t>I love my family.</t>
  </si>
  <si>
    <t>w-0033</t>
  </si>
  <si>
    <t>son</t>
  </si>
  <si>
    <t>아들</t>
  </si>
  <si>
    <t>He is their only son.</t>
  </si>
  <si>
    <t>w-0034</t>
  </si>
  <si>
    <t>daughter</t>
  </si>
  <si>
    <t>딸</t>
  </si>
  <si>
    <t>She is their youngest daughter.</t>
  </si>
  <si>
    <t>w-0035</t>
  </si>
  <si>
    <t>relative</t>
  </si>
  <si>
    <t>친척</t>
  </si>
  <si>
    <t>Many relatives came to the wedding.</t>
  </si>
  <si>
    <t>w-0036</t>
  </si>
  <si>
    <t>grandchild</t>
  </si>
  <si>
    <t>손주</t>
  </si>
  <si>
    <t>She is my grandmother's first grandchild.</t>
  </si>
  <si>
    <t>w-0037</t>
  </si>
  <si>
    <t>sibling</t>
  </si>
  <si>
    <t>형제자매</t>
  </si>
  <si>
    <t>I have two siblings.</t>
  </si>
  <si>
    <t>w-0038</t>
  </si>
  <si>
    <t>generation</t>
  </si>
  <si>
    <t>세대</t>
  </si>
  <si>
    <t>Three generations live in this house.</t>
  </si>
  <si>
    <t>w-0039</t>
  </si>
  <si>
    <t>spouse</t>
  </si>
  <si>
    <t>배우자</t>
  </si>
  <si>
    <t>He introduced his spouse to us.</t>
  </si>
  <si>
    <t>w-0040</t>
  </si>
  <si>
    <t>ancestor</t>
  </si>
  <si>
    <t>조상</t>
  </si>
  <si>
    <t>Our ancestors lived in this village.</t>
  </si>
  <si>
    <t>w-0041</t>
  </si>
  <si>
    <t>book</t>
  </si>
  <si>
    <t>책</t>
  </si>
  <si>
    <t>This is my book.</t>
  </si>
  <si>
    <t>w-0042</t>
  </si>
  <si>
    <t>pencil</t>
  </si>
  <si>
    <t>연필</t>
  </si>
  <si>
    <t>I have a red pencil.</t>
  </si>
  <si>
    <t>w-0043</t>
  </si>
  <si>
    <t>desk</t>
  </si>
  <si>
    <t>책상</t>
  </si>
  <si>
    <t>The book is on the desk.</t>
  </si>
  <si>
    <t>w-0044</t>
  </si>
  <si>
    <t>chair</t>
  </si>
  <si>
    <t>의자</t>
  </si>
  <si>
    <t>Sit on the chair.</t>
  </si>
  <si>
    <t>w-0045</t>
  </si>
  <si>
    <t>teacher</t>
  </si>
  <si>
    <t>선생님</t>
  </si>
  <si>
    <t>My teacher is kind.</t>
  </si>
  <si>
    <t>w-0046</t>
  </si>
  <si>
    <t>classroom</t>
  </si>
  <si>
    <t>교실</t>
  </si>
  <si>
    <t>Our classroom is bright and clean.</t>
  </si>
  <si>
    <t>w-0047</t>
  </si>
  <si>
    <t>student</t>
  </si>
  <si>
    <t>학생</t>
  </si>
  <si>
    <t>She is a good student.</t>
  </si>
  <si>
    <t>w-0048</t>
  </si>
  <si>
    <t>notebook</t>
  </si>
  <si>
    <t>공책</t>
  </si>
  <si>
    <t>I write in my notebook.</t>
  </si>
  <si>
    <t>w-0049</t>
  </si>
  <si>
    <t>eraser</t>
  </si>
  <si>
    <t>지우개</t>
  </si>
  <si>
    <t>May I borrow your eraser?</t>
  </si>
  <si>
    <t>w-0050</t>
  </si>
  <si>
    <t>bag</t>
  </si>
  <si>
    <t>가방</t>
  </si>
  <si>
    <t>My bag is heavy.</t>
  </si>
  <si>
    <t>w-0051</t>
  </si>
  <si>
    <t>homework</t>
  </si>
  <si>
    <t>숙제</t>
  </si>
  <si>
    <t>I finish my homework after school.</t>
  </si>
  <si>
    <t>w-0052</t>
  </si>
  <si>
    <t>test</t>
  </si>
  <si>
    <t>시험</t>
  </si>
  <si>
    <t>We have a test tomorrow.</t>
  </si>
  <si>
    <t>w-0053</t>
  </si>
  <si>
    <t>subject</t>
  </si>
  <si>
    <t>과목</t>
  </si>
  <si>
    <t>Math is my favorite subject.</t>
  </si>
  <si>
    <t>w-0054</t>
  </si>
  <si>
    <t>lesson</t>
  </si>
  <si>
    <t>수업</t>
  </si>
  <si>
    <t>Today's lesson is about animals.</t>
  </si>
  <si>
    <t>w-0055</t>
  </si>
  <si>
    <t>library</t>
  </si>
  <si>
    <t>도서관</t>
  </si>
  <si>
    <t>I borrow books from the library.</t>
  </si>
  <si>
    <t>w-0056</t>
  </si>
  <si>
    <t>principal</t>
  </si>
  <si>
    <t>교장 선생님</t>
  </si>
  <si>
    <t>The principal spoke at the assembly.</t>
  </si>
  <si>
    <t>w-0057</t>
  </si>
  <si>
    <t>education</t>
  </si>
  <si>
    <t>교육</t>
  </si>
  <si>
    <t>Education is important for children.</t>
  </si>
  <si>
    <t>w-0058</t>
  </si>
  <si>
    <t>schedule</t>
  </si>
  <si>
    <t>시간표</t>
  </si>
  <si>
    <t>Check your class schedule.</t>
  </si>
  <si>
    <t>w-0059</t>
  </si>
  <si>
    <t>grade</t>
  </si>
  <si>
    <t>학년/성적</t>
  </si>
  <si>
    <t>She got a good grade on the test.</t>
  </si>
  <si>
    <t>w-0060</t>
  </si>
  <si>
    <t>classmate</t>
  </si>
  <si>
    <t>반 친구</t>
  </si>
  <si>
    <t>My classmate sits next to me.</t>
  </si>
  <si>
    <t>w-0061</t>
  </si>
  <si>
    <t>dog</t>
  </si>
  <si>
    <t>개</t>
  </si>
  <si>
    <t>My dog can run fast.</t>
  </si>
  <si>
    <t>w-0062</t>
  </si>
  <si>
    <t>cat</t>
  </si>
  <si>
    <t>고양이</t>
  </si>
  <si>
    <t>The cat is sleeping.</t>
  </si>
  <si>
    <t>w-0063</t>
  </si>
  <si>
    <t>bird</t>
  </si>
  <si>
    <t>새</t>
  </si>
  <si>
    <t>A bird is singing.</t>
  </si>
  <si>
    <t>w-0064</t>
  </si>
  <si>
    <t>fish</t>
  </si>
  <si>
    <t>물고기</t>
  </si>
  <si>
    <t>Fish live in water.</t>
  </si>
  <si>
    <t>w-0065</t>
  </si>
  <si>
    <t>rabbit</t>
  </si>
  <si>
    <t>토끼</t>
  </si>
  <si>
    <t>The rabbit can jump.</t>
  </si>
  <si>
    <t>w-0066</t>
  </si>
  <si>
    <t>lion</t>
  </si>
  <si>
    <t>사자</t>
  </si>
  <si>
    <t>The lion is big and strong.</t>
  </si>
  <si>
    <t>w-0067</t>
  </si>
  <si>
    <t>elephant</t>
  </si>
  <si>
    <t>코끼리</t>
  </si>
  <si>
    <t>An elephant has a long nose.</t>
  </si>
  <si>
    <t>w-0068</t>
  </si>
  <si>
    <t>monkey</t>
  </si>
  <si>
    <t>원숭이</t>
  </si>
  <si>
    <t>The monkey likes bananas.</t>
  </si>
  <si>
    <t>w-0069</t>
  </si>
  <si>
    <t>tiger</t>
  </si>
  <si>
    <t>호랑이</t>
  </si>
  <si>
    <t>The tiger has orange fur.</t>
  </si>
  <si>
    <t>w-0070</t>
  </si>
  <si>
    <t>bear</t>
  </si>
  <si>
    <t>곰</t>
  </si>
  <si>
    <t>The bear sleeps in winter.</t>
  </si>
  <si>
    <t>w-0071</t>
  </si>
  <si>
    <t>wildlife</t>
  </si>
  <si>
    <t>야생동물</t>
  </si>
  <si>
    <t>We saw a lot of wildlife in the forest.</t>
  </si>
  <si>
    <t>w-0072</t>
  </si>
  <si>
    <t>insect</t>
  </si>
  <si>
    <t>곤충</t>
  </si>
  <si>
    <t>A bee is a small insect.</t>
  </si>
  <si>
    <t>w-0073</t>
  </si>
  <si>
    <t>reptile</t>
  </si>
  <si>
    <t>파충류</t>
  </si>
  <si>
    <t>A snake is a reptile.</t>
  </si>
  <si>
    <t>w-0074</t>
  </si>
  <si>
    <t>mammal</t>
  </si>
  <si>
    <t>포유류</t>
  </si>
  <si>
    <t>A whale is a mammal.</t>
  </si>
  <si>
    <t>w-0075</t>
  </si>
  <si>
    <t>creature</t>
  </si>
  <si>
    <t>생물</t>
  </si>
  <si>
    <t>The ocean is full of strange creatures.</t>
  </si>
  <si>
    <t>w-0076</t>
  </si>
  <si>
    <t>endangered</t>
  </si>
  <si>
    <t>멸종위기의</t>
  </si>
  <si>
    <t>The panda is an endangered animal.</t>
  </si>
  <si>
    <t>w-0077</t>
  </si>
  <si>
    <t>species</t>
  </si>
  <si>
    <t>종(種)</t>
  </si>
  <si>
    <t>This is a rare species of bird.</t>
  </si>
  <si>
    <t>w-0078</t>
  </si>
  <si>
    <t>habitat</t>
  </si>
  <si>
    <t>서식지</t>
  </si>
  <si>
    <t>We must protect the animals' habitat.</t>
  </si>
  <si>
    <t>w-0079</t>
  </si>
  <si>
    <t>predator</t>
  </si>
  <si>
    <t>포식자</t>
  </si>
  <si>
    <t>The eagle is a fierce predator.</t>
  </si>
  <si>
    <t>w-0080</t>
  </si>
  <si>
    <t>ecosystem</t>
  </si>
  <si>
    <t>생태계</t>
  </si>
  <si>
    <t>The forest ecosystem needs clean water.</t>
  </si>
  <si>
    <t>w-0081</t>
  </si>
  <si>
    <t>apple</t>
  </si>
  <si>
    <t>사과</t>
  </si>
  <si>
    <t>I eat an apple every day.</t>
  </si>
  <si>
    <t>w-0082</t>
  </si>
  <si>
    <t>milk</t>
  </si>
  <si>
    <t>우유</t>
  </si>
  <si>
    <t>Milk is good for you.</t>
  </si>
  <si>
    <t>w-0083</t>
  </si>
  <si>
    <t>bread</t>
  </si>
  <si>
    <t>빵</t>
  </si>
  <si>
    <t>She likes bread and milk.</t>
  </si>
  <si>
    <t>w-0084</t>
  </si>
  <si>
    <t>rice</t>
  </si>
  <si>
    <t>밥</t>
  </si>
  <si>
    <t>We eat rice for lunch.</t>
  </si>
  <si>
    <t>w-0085</t>
  </si>
  <si>
    <t>egg</t>
  </si>
  <si>
    <t>달걀</t>
  </si>
  <si>
    <t>I want an egg.</t>
  </si>
  <si>
    <t>w-0086</t>
  </si>
  <si>
    <t>pizza</t>
  </si>
  <si>
    <t>피자</t>
  </si>
  <si>
    <t>We ordered a pizza for dinner.</t>
  </si>
  <si>
    <t>w-0087</t>
  </si>
  <si>
    <t>banana</t>
  </si>
  <si>
    <t>바나나</t>
  </si>
  <si>
    <t>w-0088</t>
  </si>
  <si>
    <t>cheese</t>
  </si>
  <si>
    <t>치즈</t>
  </si>
  <si>
    <t>I put cheese on my sandwich.</t>
  </si>
  <si>
    <t>w-0089</t>
  </si>
  <si>
    <t>soup</t>
  </si>
  <si>
    <t>수프</t>
  </si>
  <si>
    <t>The soup is hot.</t>
  </si>
  <si>
    <t>w-0090</t>
  </si>
  <si>
    <t>noodle</t>
  </si>
  <si>
    <t>면</t>
  </si>
  <si>
    <t>I like noodle soup.</t>
  </si>
  <si>
    <t>w-0091</t>
  </si>
  <si>
    <t>vegetable</t>
  </si>
  <si>
    <t>채소</t>
  </si>
  <si>
    <t>Carrots are a healthy vegetable.</t>
  </si>
  <si>
    <t>w-0092</t>
  </si>
  <si>
    <t>fruit</t>
  </si>
  <si>
    <t>과일</t>
  </si>
  <si>
    <t>I eat fruit every morning.</t>
  </si>
  <si>
    <t>w-0093</t>
  </si>
  <si>
    <t>dessert</t>
  </si>
  <si>
    <t>디저트</t>
  </si>
  <si>
    <t>Ice cream is my favorite dessert.</t>
  </si>
  <si>
    <t>w-0094</t>
  </si>
  <si>
    <t>snack</t>
  </si>
  <si>
    <t>간식</t>
  </si>
  <si>
    <t>I have a snack after school.</t>
  </si>
  <si>
    <t>w-0095</t>
  </si>
  <si>
    <t>meal</t>
  </si>
  <si>
    <t>식사</t>
  </si>
  <si>
    <t>Breakfast is an important meal.</t>
  </si>
  <si>
    <t>w-0096</t>
  </si>
  <si>
    <t>nutrition</t>
  </si>
  <si>
    <t>영양</t>
  </si>
  <si>
    <t>Good nutrition keeps you healthy.</t>
  </si>
  <si>
    <t>w-0097</t>
  </si>
  <si>
    <t>ingredient</t>
  </si>
  <si>
    <t>재료</t>
  </si>
  <si>
    <t>Flour is the main ingredient in bread.</t>
  </si>
  <si>
    <t>w-0098</t>
  </si>
  <si>
    <t>recipe</t>
  </si>
  <si>
    <t>조리법</t>
  </si>
  <si>
    <t>My mom follows a recipe for cookies.</t>
  </si>
  <si>
    <t>w-0099</t>
  </si>
  <si>
    <t>appetite</t>
  </si>
  <si>
    <t>식욕</t>
  </si>
  <si>
    <t>Exercise gives me a big appetite.</t>
  </si>
  <si>
    <t>w-0100</t>
  </si>
  <si>
    <t>diet</t>
  </si>
  <si>
    <t>식단</t>
  </si>
  <si>
    <t>A balanced diet is important for kids.</t>
  </si>
  <si>
    <t>w-0101</t>
  </si>
  <si>
    <t>red</t>
  </si>
  <si>
    <t>빨강</t>
  </si>
  <si>
    <t>I like the color red.</t>
  </si>
  <si>
    <t>w-0102</t>
  </si>
  <si>
    <t>blue</t>
  </si>
  <si>
    <t>파랑</t>
  </si>
  <si>
    <t>The sky is blue.</t>
  </si>
  <si>
    <t>w-0103</t>
  </si>
  <si>
    <t>yellow</t>
  </si>
  <si>
    <t>노랑</t>
  </si>
  <si>
    <t>The sun is yellow.</t>
  </si>
  <si>
    <t>w-0104</t>
  </si>
  <si>
    <t>green</t>
  </si>
  <si>
    <t>초록</t>
  </si>
  <si>
    <t>The grass is green.</t>
  </si>
  <si>
    <t>w-0105</t>
  </si>
  <si>
    <t>white</t>
  </si>
  <si>
    <t>흰색</t>
  </si>
  <si>
    <t>Snow is white.</t>
  </si>
  <si>
    <t>w-0106</t>
  </si>
  <si>
    <t>black</t>
  </si>
  <si>
    <t>검정</t>
  </si>
  <si>
    <t>My cat is black.</t>
  </si>
  <si>
    <t>w-0107</t>
  </si>
  <si>
    <t>pink</t>
  </si>
  <si>
    <t>분홍</t>
  </si>
  <si>
    <t>She wears a pink dress.</t>
  </si>
  <si>
    <t>w-0108</t>
  </si>
  <si>
    <t>purple</t>
  </si>
  <si>
    <t>보라</t>
  </si>
  <si>
    <t>I painted the flower purple.</t>
  </si>
  <si>
    <t>w-0109</t>
  </si>
  <si>
    <t>orange</t>
  </si>
  <si>
    <t>주황</t>
  </si>
  <si>
    <t>The orange is orange.</t>
  </si>
  <si>
    <t>w-0110</t>
  </si>
  <si>
    <t>brown</t>
  </si>
  <si>
    <t>갈색</t>
  </si>
  <si>
    <t>The bear has brown fur.</t>
  </si>
  <si>
    <t>w-0111</t>
  </si>
  <si>
    <t>gray</t>
  </si>
  <si>
    <t>회색</t>
  </si>
  <si>
    <t>The sky turned gray before the rain.</t>
  </si>
  <si>
    <t>w-0112</t>
  </si>
  <si>
    <t>gold</t>
  </si>
  <si>
    <t>금색</t>
  </si>
  <si>
    <t>She wore a gold necklace.</t>
  </si>
  <si>
    <t>w-0113</t>
  </si>
  <si>
    <t>silver</t>
  </si>
  <si>
    <t>은색</t>
  </si>
  <si>
    <t>He has a silver watch.</t>
  </si>
  <si>
    <t>w-0114</t>
  </si>
  <si>
    <t>colorful</t>
  </si>
  <si>
    <t>알록달록한</t>
  </si>
  <si>
    <t>The garden is full of colorful flowers.</t>
  </si>
  <si>
    <t>w-0115</t>
  </si>
  <si>
    <t>bright</t>
  </si>
  <si>
    <t>밝은</t>
  </si>
  <si>
    <t>She likes bright colors.</t>
  </si>
  <si>
    <t>w-0116</t>
  </si>
  <si>
    <t>shade</t>
  </si>
  <si>
    <t>색조</t>
  </si>
  <si>
    <t>Choose a lighter shade of blue.</t>
  </si>
  <si>
    <t>w-0117</t>
  </si>
  <si>
    <t>tone</t>
  </si>
  <si>
    <t>색조/톤</t>
  </si>
  <si>
    <t>I like the warm tone of this photo.</t>
  </si>
  <si>
    <t>w-0118</t>
  </si>
  <si>
    <t>pale</t>
  </si>
  <si>
    <t>옅은</t>
  </si>
  <si>
    <t>w-0119</t>
  </si>
  <si>
    <t>vivid</t>
  </si>
  <si>
    <t>선명한</t>
  </si>
  <si>
    <t>The painting has vivid colors.</t>
  </si>
  <si>
    <t>w-0120</t>
  </si>
  <si>
    <t>dye</t>
  </si>
  <si>
    <t>염색하다</t>
  </si>
  <si>
    <t>We dyed the shirt red.</t>
  </si>
  <si>
    <t>w-0121</t>
  </si>
  <si>
    <t>one</t>
  </si>
  <si>
    <t>하나</t>
  </si>
  <si>
    <t>w-0122</t>
  </si>
  <si>
    <t>two</t>
  </si>
  <si>
    <t>둘</t>
  </si>
  <si>
    <t>I have two pencils.</t>
  </si>
  <si>
    <t>w-0123</t>
  </si>
  <si>
    <t>three</t>
  </si>
  <si>
    <t>셋</t>
  </si>
  <si>
    <t>I see three birds.</t>
  </si>
  <si>
    <t>w-0124</t>
  </si>
  <si>
    <t>four</t>
  </si>
  <si>
    <t>넷</t>
  </si>
  <si>
    <t>There are four chairs.</t>
  </si>
  <si>
    <t>w-0125</t>
  </si>
  <si>
    <t>five</t>
  </si>
  <si>
    <t>다섯</t>
  </si>
  <si>
    <t>I have five fingers on one hand.</t>
  </si>
  <si>
    <t>w-0126</t>
  </si>
  <si>
    <t>six</t>
  </si>
  <si>
    <t>여섯</t>
  </si>
  <si>
    <t>There are six eggs in the box.</t>
  </si>
  <si>
    <t>w-0127</t>
  </si>
  <si>
    <t>seven</t>
  </si>
  <si>
    <t>일곱</t>
  </si>
  <si>
    <t>A week has seven days.</t>
  </si>
  <si>
    <t>w-0128</t>
  </si>
  <si>
    <t>eight</t>
  </si>
  <si>
    <t>여덟</t>
  </si>
  <si>
    <t>The spider has eight legs.</t>
  </si>
  <si>
    <t>w-0129</t>
  </si>
  <si>
    <t>nine</t>
  </si>
  <si>
    <t>아홉</t>
  </si>
  <si>
    <t>There are nine players on a team.</t>
  </si>
  <si>
    <t>w-0130</t>
  </si>
  <si>
    <t>ten</t>
  </si>
  <si>
    <t>열</t>
  </si>
  <si>
    <t>I can count to ten.</t>
  </si>
  <si>
    <t>w-0131</t>
  </si>
  <si>
    <t>hundred</t>
  </si>
  <si>
    <t>백</t>
  </si>
  <si>
    <t>There are a hundred students in our grade.</t>
  </si>
  <si>
    <t>w-0132</t>
  </si>
  <si>
    <t>thousand</t>
  </si>
  <si>
    <t>천</t>
  </si>
  <si>
    <t>The stadium holds a thousand people.</t>
  </si>
  <si>
    <t>w-0133</t>
  </si>
  <si>
    <t>dozen</t>
  </si>
  <si>
    <t>다스(12개)</t>
  </si>
  <si>
    <t>w-0134</t>
  </si>
  <si>
    <t>first</t>
  </si>
  <si>
    <t>첫 번째</t>
  </si>
  <si>
    <t>w-0135</t>
  </si>
  <si>
    <t>second</t>
  </si>
  <si>
    <t>두 번째</t>
  </si>
  <si>
    <t>He came in second place.</t>
  </si>
  <si>
    <t>w-0136</t>
  </si>
  <si>
    <t>million</t>
  </si>
  <si>
    <t>백만</t>
  </si>
  <si>
    <t>The city has a million people.</t>
  </si>
  <si>
    <t>w-0137</t>
  </si>
  <si>
    <t>quarter</t>
  </si>
  <si>
    <t>사분의 일</t>
  </si>
  <si>
    <t>I ate a quarter of the pizza.</t>
  </si>
  <si>
    <t>w-0138</t>
  </si>
  <si>
    <t>half</t>
  </si>
  <si>
    <t>절반</t>
  </si>
  <si>
    <t>w-0139</t>
  </si>
  <si>
    <t>double</t>
  </si>
  <si>
    <t>두 배</t>
  </si>
  <si>
    <t>The price is double now.</t>
  </si>
  <si>
    <t>w-0140</t>
  </si>
  <si>
    <t>triple</t>
  </si>
  <si>
    <t>세 배</t>
  </si>
  <si>
    <t>The team scored triple the points.</t>
  </si>
  <si>
    <t>w-0141</t>
  </si>
  <si>
    <t>sunny</t>
  </si>
  <si>
    <t>맑은</t>
  </si>
  <si>
    <t>w-0142</t>
  </si>
  <si>
    <t>rainy</t>
  </si>
  <si>
    <t>비 오는</t>
  </si>
  <si>
    <t>It is rainy outside.</t>
  </si>
  <si>
    <t>w-0143</t>
  </si>
  <si>
    <t>cloudy</t>
  </si>
  <si>
    <t>흐린</t>
  </si>
  <si>
    <t>The sky is cloudy.</t>
  </si>
  <si>
    <t>w-0144</t>
  </si>
  <si>
    <t>hot</t>
  </si>
  <si>
    <t>더운</t>
  </si>
  <si>
    <t>It is hot in summer.</t>
  </si>
  <si>
    <t>w-0145</t>
  </si>
  <si>
    <t>cold</t>
  </si>
  <si>
    <t>추운</t>
  </si>
  <si>
    <t>It is cold in winter.</t>
  </si>
  <si>
    <t>w-0146</t>
  </si>
  <si>
    <t>windy</t>
  </si>
  <si>
    <t>바람 부는</t>
  </si>
  <si>
    <t>w-0147</t>
  </si>
  <si>
    <t>snowy</t>
  </si>
  <si>
    <t>눈 오는</t>
  </si>
  <si>
    <t>It is snowy in December.</t>
  </si>
  <si>
    <t>w-0148</t>
  </si>
  <si>
    <t>warm</t>
  </si>
  <si>
    <t>따뜻한</t>
  </si>
  <si>
    <t>The weather is warm today.</t>
  </si>
  <si>
    <t>w-0149</t>
  </si>
  <si>
    <t>cool</t>
  </si>
  <si>
    <t>시원한</t>
  </si>
  <si>
    <t>The breeze feels cool.</t>
  </si>
  <si>
    <t>w-0150</t>
  </si>
  <si>
    <t>weather</t>
  </si>
  <si>
    <t>날씨</t>
  </si>
  <si>
    <t>w-0151</t>
  </si>
  <si>
    <t>temperature</t>
  </si>
  <si>
    <t>기온</t>
  </si>
  <si>
    <t>w-0152</t>
  </si>
  <si>
    <t>forecast</t>
  </si>
  <si>
    <t>예보</t>
  </si>
  <si>
    <t>w-0153</t>
  </si>
  <si>
    <t>storm</t>
  </si>
  <si>
    <t>폭풍</t>
  </si>
  <si>
    <t>A big storm is coming.</t>
  </si>
  <si>
    <t>w-0154</t>
  </si>
  <si>
    <t>humid</t>
  </si>
  <si>
    <t>습한</t>
  </si>
  <si>
    <t>w-0155</t>
  </si>
  <si>
    <t>foggy</t>
  </si>
  <si>
    <t>안개 낀</t>
  </si>
  <si>
    <t>w-0156</t>
  </si>
  <si>
    <t>climate</t>
  </si>
  <si>
    <t>기후</t>
  </si>
  <si>
    <t>The climate is changing.</t>
  </si>
  <si>
    <t>w-0157</t>
  </si>
  <si>
    <t>drought</t>
  </si>
  <si>
    <t>가뭄</t>
  </si>
  <si>
    <t>The drought damaged the crops.</t>
  </si>
  <si>
    <t>w-0158</t>
  </si>
  <si>
    <t>thunder</t>
  </si>
  <si>
    <t>천둥</t>
  </si>
  <si>
    <t>We heard thunder last night.</t>
  </si>
  <si>
    <t>w-0159</t>
  </si>
  <si>
    <t>lightning</t>
  </si>
  <si>
    <t>번개</t>
  </si>
  <si>
    <t>Lightning flashed across the sky.</t>
  </si>
  <si>
    <t>w-0160</t>
  </si>
  <si>
    <t>hurricane</t>
  </si>
  <si>
    <t>허리케인</t>
  </si>
  <si>
    <t>A hurricane hit the coast.</t>
  </si>
  <si>
    <t>w-0161</t>
  </si>
  <si>
    <t>spring</t>
  </si>
  <si>
    <t>봄</t>
  </si>
  <si>
    <t>w-0162</t>
  </si>
  <si>
    <t>summer</t>
  </si>
  <si>
    <t>여름</t>
  </si>
  <si>
    <t>We swim in summer.</t>
  </si>
  <si>
    <t>w-0163</t>
  </si>
  <si>
    <t>fall</t>
  </si>
  <si>
    <t>가을</t>
  </si>
  <si>
    <t>Leaves fall in fall.</t>
  </si>
  <si>
    <t>w-0164</t>
  </si>
  <si>
    <t>winter</t>
  </si>
  <si>
    <t>겨울</t>
  </si>
  <si>
    <t>We build snowmen in winter.</t>
  </si>
  <si>
    <t>w-0165</t>
  </si>
  <si>
    <t>season</t>
  </si>
  <si>
    <t>계절</t>
  </si>
  <si>
    <t>My favorite season is fall.</t>
  </si>
  <si>
    <t>w-0166</t>
  </si>
  <si>
    <t>leaf</t>
  </si>
  <si>
    <t>나뭇잎</t>
  </si>
  <si>
    <t>The leaf turned red.</t>
  </si>
  <si>
    <t>w-0167</t>
  </si>
  <si>
    <t>flower</t>
  </si>
  <si>
    <t>꽃</t>
  </si>
  <si>
    <t>The flower smells nice.</t>
  </si>
  <si>
    <t>w-0168</t>
  </si>
  <si>
    <t>snowman</t>
  </si>
  <si>
    <t>눈사람</t>
  </si>
  <si>
    <t>We made a snowman together.</t>
  </si>
  <si>
    <t>w-0169</t>
  </si>
  <si>
    <t>vacation</t>
  </si>
  <si>
    <t>방학</t>
  </si>
  <si>
    <t>Summer vacation starts next week.</t>
  </si>
  <si>
    <t>w-0170</t>
  </si>
  <si>
    <t>holiday</t>
  </si>
  <si>
    <t>휴일</t>
  </si>
  <si>
    <t>Today is a holiday.</t>
  </si>
  <si>
    <t>w-0171</t>
  </si>
  <si>
    <t>harvest</t>
  </si>
  <si>
    <t>수확</t>
  </si>
  <si>
    <t>Farmers harvest rice in fall.</t>
  </si>
  <si>
    <t>w-0172</t>
  </si>
  <si>
    <t>blossom</t>
  </si>
  <si>
    <t>꽃이 피다</t>
  </si>
  <si>
    <t>The cherry trees blossom in April.</t>
  </si>
  <si>
    <t>w-0173</t>
  </si>
  <si>
    <t>migrate</t>
  </si>
  <si>
    <t>이동하다(철새)</t>
  </si>
  <si>
    <t>Birds migrate south in winter.</t>
  </si>
  <si>
    <t>w-0174</t>
  </si>
  <si>
    <t>hibernate</t>
  </si>
  <si>
    <t>겨울잠 자다</t>
  </si>
  <si>
    <t>Bears hibernate in winter.</t>
  </si>
  <si>
    <t>w-0175</t>
  </si>
  <si>
    <t>seasonal</t>
  </si>
  <si>
    <t>계절적인</t>
  </si>
  <si>
    <t>Strawberries are a seasonal fruit.</t>
  </si>
  <si>
    <t>w-0176</t>
  </si>
  <si>
    <t>equinox</t>
  </si>
  <si>
    <t>춘분/추분</t>
  </si>
  <si>
    <t>The equinox marks the start of spring.</t>
  </si>
  <si>
    <t>w-0177</t>
  </si>
  <si>
    <t>solstice</t>
  </si>
  <si>
    <t>하지/동지</t>
  </si>
  <si>
    <t>The summer solstice is the longest day.</t>
  </si>
  <si>
    <t>w-0178</t>
  </si>
  <si>
    <t>annual</t>
  </si>
  <si>
    <t>매년의</t>
  </si>
  <si>
    <t>This is our annual school trip.</t>
  </si>
  <si>
    <t>w-0179</t>
  </si>
  <si>
    <t>temperate</t>
  </si>
  <si>
    <t>온화한</t>
  </si>
  <si>
    <t>Korea has a temperate climate.</t>
  </si>
  <si>
    <t>w-0180</t>
  </si>
  <si>
    <t>transition</t>
  </si>
  <si>
    <t>변화</t>
  </si>
  <si>
    <t>The transition from summer to fall is quick.</t>
  </si>
  <si>
    <t>w-0181</t>
  </si>
  <si>
    <t>shirt</t>
  </si>
  <si>
    <t>셔츠</t>
  </si>
  <si>
    <t>I am wearing a white shirt.</t>
  </si>
  <si>
    <t>w-0182</t>
  </si>
  <si>
    <t>pants</t>
  </si>
  <si>
    <t>바지</t>
  </si>
  <si>
    <t>w-0183</t>
  </si>
  <si>
    <t>shoes</t>
  </si>
  <si>
    <t>신발</t>
  </si>
  <si>
    <t>w-0184</t>
  </si>
  <si>
    <t>hat</t>
  </si>
  <si>
    <t>모자</t>
  </si>
  <si>
    <t>w-0185</t>
  </si>
  <si>
    <t>socks</t>
  </si>
  <si>
    <t>양말</t>
  </si>
  <si>
    <t>w-0186</t>
  </si>
  <si>
    <t>jacket</t>
  </si>
  <si>
    <t>재킷</t>
  </si>
  <si>
    <t>Put on your jacket, it's cold.</t>
  </si>
  <si>
    <t>w-0187</t>
  </si>
  <si>
    <t>skirt</t>
  </si>
  <si>
    <t>치마</t>
  </si>
  <si>
    <t>She wears a red skirt.</t>
  </si>
  <si>
    <t>w-0188</t>
  </si>
  <si>
    <t>dress</t>
  </si>
  <si>
    <t>원피스</t>
  </si>
  <si>
    <t>She wore a pretty dress.</t>
  </si>
  <si>
    <t>w-0189</t>
  </si>
  <si>
    <t>coat</t>
  </si>
  <si>
    <t>코트</t>
  </si>
  <si>
    <t>He wears a heavy coat in winter.</t>
  </si>
  <si>
    <t>w-0190</t>
  </si>
  <si>
    <t>glove</t>
  </si>
  <si>
    <t>장갑</t>
  </si>
  <si>
    <t>Wear your gloves, it's cold outside.</t>
  </si>
  <si>
    <t>w-0191</t>
  </si>
  <si>
    <t>uniform</t>
  </si>
  <si>
    <t>교복/유니폼</t>
  </si>
  <si>
    <t>Students wear a school uniform.</t>
  </si>
  <si>
    <t>w-0192</t>
  </si>
  <si>
    <t>scarf</t>
  </si>
  <si>
    <t>목도리</t>
  </si>
  <si>
    <t>She wrapped a scarf around her neck.</t>
  </si>
  <si>
    <t>w-0193</t>
  </si>
  <si>
    <t>button</t>
  </si>
  <si>
    <t>단추</t>
  </si>
  <si>
    <t>One button on my shirt is missing.</t>
  </si>
  <si>
    <t>w-0194</t>
  </si>
  <si>
    <t>zipper</t>
  </si>
  <si>
    <t>지퍼</t>
  </si>
  <si>
    <t>The zipper on my jacket is stuck.</t>
  </si>
  <si>
    <t>w-0195</t>
  </si>
  <si>
    <t>fabric</t>
  </si>
  <si>
    <t>옷감</t>
  </si>
  <si>
    <t>This shirt is made of soft fabric.</t>
  </si>
  <si>
    <t>w-0196</t>
  </si>
  <si>
    <t>fashion</t>
  </si>
  <si>
    <t>패션</t>
  </si>
  <si>
    <t>She is interested in fashion.</t>
  </si>
  <si>
    <t>w-0197</t>
  </si>
  <si>
    <t>style</t>
  </si>
  <si>
    <t>스타일</t>
  </si>
  <si>
    <t>He has his own style.</t>
  </si>
  <si>
    <t>w-0198</t>
  </si>
  <si>
    <t>accessory</t>
  </si>
  <si>
    <t>액세서리</t>
  </si>
  <si>
    <t>A necklace is a nice accessory.</t>
  </si>
  <si>
    <t>w-0199</t>
  </si>
  <si>
    <t>wardrobe</t>
  </si>
  <si>
    <t>옷장</t>
  </si>
  <si>
    <t>My wardrobe is full of clothes.</t>
  </si>
  <si>
    <t>w-0200</t>
  </si>
  <si>
    <t>textile</t>
  </si>
  <si>
    <t>직물</t>
  </si>
  <si>
    <t>Cotton is a common textile.</t>
  </si>
  <si>
    <t>w-0201</t>
  </si>
  <si>
    <t>head</t>
  </si>
  <si>
    <t>머리</t>
  </si>
  <si>
    <t>My head hurts a little.</t>
  </si>
  <si>
    <t>w-0202</t>
  </si>
  <si>
    <t>hand</t>
  </si>
  <si>
    <t>손</t>
  </si>
  <si>
    <t>Wash your hands.</t>
  </si>
  <si>
    <t>w-0203</t>
  </si>
  <si>
    <t>foot</t>
  </si>
  <si>
    <t>발</t>
  </si>
  <si>
    <t>w-0204</t>
  </si>
  <si>
    <t>eye</t>
  </si>
  <si>
    <t>눈</t>
  </si>
  <si>
    <t>She has big eyes.</t>
  </si>
  <si>
    <t>w-0205</t>
  </si>
  <si>
    <t>ear</t>
  </si>
  <si>
    <t>귀</t>
  </si>
  <si>
    <t>Rabbits have long ears.</t>
  </si>
  <si>
    <t>w-0206</t>
  </si>
  <si>
    <t>arm</t>
  </si>
  <si>
    <t>팔</t>
  </si>
  <si>
    <t>He broke his arm.</t>
  </si>
  <si>
    <t>w-0207</t>
  </si>
  <si>
    <t>leg</t>
  </si>
  <si>
    <t>다리</t>
  </si>
  <si>
    <t>w-0208</t>
  </si>
  <si>
    <t>finger</t>
  </si>
  <si>
    <t>손가락</t>
  </si>
  <si>
    <t>I hurt my finger.</t>
  </si>
  <si>
    <t>w-0209</t>
  </si>
  <si>
    <t>nose</t>
  </si>
  <si>
    <t>코</t>
  </si>
  <si>
    <t>w-0210</t>
  </si>
  <si>
    <t>mouth</t>
  </si>
  <si>
    <t>입</t>
  </si>
  <si>
    <t>Open your mouth, please.</t>
  </si>
  <si>
    <t>w-0211</t>
  </si>
  <si>
    <t>shoulder</t>
  </si>
  <si>
    <t>어깨</t>
  </si>
  <si>
    <t>She carried the bag on her shoulder.</t>
  </si>
  <si>
    <t>w-0212</t>
  </si>
  <si>
    <t>elbow</t>
  </si>
  <si>
    <t>팔꿈치</t>
  </si>
  <si>
    <t>I hit my elbow on the door.</t>
  </si>
  <si>
    <t>w-0213</t>
  </si>
  <si>
    <t>knee</t>
  </si>
  <si>
    <t>무릎</t>
  </si>
  <si>
    <t>He fell and hurt his knee.</t>
  </si>
  <si>
    <t>w-0214</t>
  </si>
  <si>
    <t>stomach</t>
  </si>
  <si>
    <t>배</t>
  </si>
  <si>
    <t>w-0215</t>
  </si>
  <si>
    <t>chest</t>
  </si>
  <si>
    <t>가슴</t>
  </si>
  <si>
    <t>He put his hand on his chest.</t>
  </si>
  <si>
    <t>w-0216</t>
  </si>
  <si>
    <t>skeleton</t>
  </si>
  <si>
    <t>골격</t>
  </si>
  <si>
    <t>We studied the human skeleton in class.</t>
  </si>
  <si>
    <t>w-0217</t>
  </si>
  <si>
    <t>muscle</t>
  </si>
  <si>
    <t>근육</t>
  </si>
  <si>
    <t>Exercise makes your muscles strong.</t>
  </si>
  <si>
    <t>w-0218</t>
  </si>
  <si>
    <t>organ</t>
  </si>
  <si>
    <t>장기</t>
  </si>
  <si>
    <t>The heart is an important organ.</t>
  </si>
  <si>
    <t>w-0219</t>
  </si>
  <si>
    <t>brain</t>
  </si>
  <si>
    <t>뇌</t>
  </si>
  <si>
    <t>The brain controls the body.</t>
  </si>
  <si>
    <t>w-0220</t>
  </si>
  <si>
    <t>nerve</t>
  </si>
  <si>
    <t>신경</t>
  </si>
  <si>
    <t>Nerves send signals to the brain.</t>
  </si>
  <si>
    <t>w-0221</t>
  </si>
  <si>
    <t>run</t>
  </si>
  <si>
    <t>달리다</t>
  </si>
  <si>
    <t>I like to run in the park.</t>
  </si>
  <si>
    <t>w-0222</t>
  </si>
  <si>
    <t>jump</t>
  </si>
  <si>
    <t>뛰다</t>
  </si>
  <si>
    <t>w-0223</t>
  </si>
  <si>
    <t>swim</t>
  </si>
  <si>
    <t>수영하다</t>
  </si>
  <si>
    <t>We swim in the pool.</t>
  </si>
  <si>
    <t>w-0224</t>
  </si>
  <si>
    <t>ball</t>
  </si>
  <si>
    <t>공</t>
  </si>
  <si>
    <t>Throw me the ball.</t>
  </si>
  <si>
    <t>w-0225</t>
  </si>
  <si>
    <t>soccer</t>
  </si>
  <si>
    <t>축구</t>
  </si>
  <si>
    <t>We play soccer after school.</t>
  </si>
  <si>
    <t>w-0226</t>
  </si>
  <si>
    <t>baseball</t>
  </si>
  <si>
    <t>야구</t>
  </si>
  <si>
    <t>He plays baseball on Saturdays.</t>
  </si>
  <si>
    <t>w-0227</t>
  </si>
  <si>
    <t>basketball</t>
  </si>
  <si>
    <t>농구</t>
  </si>
  <si>
    <t>She is good at basketball.</t>
  </si>
  <si>
    <t>w-0228</t>
  </si>
  <si>
    <t>badminton</t>
  </si>
  <si>
    <t>배드민턴</t>
  </si>
  <si>
    <t>We played badminton in the park.</t>
  </si>
  <si>
    <t>w-0229</t>
  </si>
  <si>
    <t>race</t>
  </si>
  <si>
    <t>경주</t>
  </si>
  <si>
    <t>He won the race.</t>
  </si>
  <si>
    <t>w-0230</t>
  </si>
  <si>
    <t>team</t>
  </si>
  <si>
    <t>팀</t>
  </si>
  <si>
    <t>Our team won the game.</t>
  </si>
  <si>
    <t>w-0231</t>
  </si>
  <si>
    <t>athlete</t>
  </si>
  <si>
    <t>운동선수</t>
  </si>
  <si>
    <t>The athlete trains every day.</t>
  </si>
  <si>
    <t>w-0232</t>
  </si>
  <si>
    <t>coach</t>
  </si>
  <si>
    <t>코치</t>
  </si>
  <si>
    <t>Our coach teaches us new skills.</t>
  </si>
  <si>
    <t>w-0233</t>
  </si>
  <si>
    <t>exercise</t>
  </si>
  <si>
    <t>운동하다</t>
  </si>
  <si>
    <t>I exercise every morning.</t>
  </si>
  <si>
    <t>w-0234</t>
  </si>
  <si>
    <t>stadium</t>
  </si>
  <si>
    <t>경기장</t>
  </si>
  <si>
    <t>The stadium was full of fans.</t>
  </si>
  <si>
    <t>w-0235</t>
  </si>
  <si>
    <t>referee</t>
  </si>
  <si>
    <t>심판</t>
  </si>
  <si>
    <t>The referee blew the whistle.</t>
  </si>
  <si>
    <t>w-0236</t>
  </si>
  <si>
    <t>champion</t>
  </si>
  <si>
    <t>챔피언</t>
  </si>
  <si>
    <t>She became the school champion.</t>
  </si>
  <si>
    <t>w-0237</t>
  </si>
  <si>
    <t>tournament</t>
  </si>
  <si>
    <t>대회</t>
  </si>
  <si>
    <t>The team joined a big tournament.</t>
  </si>
  <si>
    <t>w-0238</t>
  </si>
  <si>
    <t>endurance</t>
  </si>
  <si>
    <t>지구력</t>
  </si>
  <si>
    <t>Running builds endurance.</t>
  </si>
  <si>
    <t>w-0239</t>
  </si>
  <si>
    <t>strategy</t>
  </si>
  <si>
    <t>전략</t>
  </si>
  <si>
    <t>The coach explained a new strategy.</t>
  </si>
  <si>
    <t>w-0240</t>
  </si>
  <si>
    <t>competition</t>
  </si>
  <si>
    <t>경쟁/대회</t>
  </si>
  <si>
    <t>The competition was very close.</t>
  </si>
  <si>
    <t>w-0241</t>
  </si>
  <si>
    <t>draw</t>
  </si>
  <si>
    <t>그리다</t>
  </si>
  <si>
    <t>I like to draw pictures.</t>
  </si>
  <si>
    <t>w-0242</t>
  </si>
  <si>
    <t>sing</t>
  </si>
  <si>
    <t>노래하다</t>
  </si>
  <si>
    <t>She loves to sing.</t>
  </si>
  <si>
    <t>w-0243</t>
  </si>
  <si>
    <t>dance</t>
  </si>
  <si>
    <t>춤추다</t>
  </si>
  <si>
    <t>We dance at the festival.</t>
  </si>
  <si>
    <t>w-0244</t>
  </si>
  <si>
    <t>read</t>
  </si>
  <si>
    <t>읽다</t>
  </si>
  <si>
    <t>w-0245</t>
  </si>
  <si>
    <t>play</t>
  </si>
  <si>
    <t>놀다</t>
  </si>
  <si>
    <t>Children play in the park.</t>
  </si>
  <si>
    <t>w-0246</t>
  </si>
  <si>
    <t>paint</t>
  </si>
  <si>
    <t>그림을 그리다</t>
  </si>
  <si>
    <t>He likes to paint with watercolors.</t>
  </si>
  <si>
    <t>w-0247</t>
  </si>
  <si>
    <t>collect</t>
  </si>
  <si>
    <t>수집하다</t>
  </si>
  <si>
    <t>I collect stamps.</t>
  </si>
  <si>
    <t>w-0248</t>
  </si>
  <si>
    <t>camera</t>
  </si>
  <si>
    <t>카메라</t>
  </si>
  <si>
    <t>She took a photo with her camera.</t>
  </si>
  <si>
    <t>w-0249</t>
  </si>
  <si>
    <t>puzzle</t>
  </si>
  <si>
    <t>퍼즐</t>
  </si>
  <si>
    <t>We solved the puzzle together.</t>
  </si>
  <si>
    <t>w-0250</t>
  </si>
  <si>
    <t>garden</t>
  </si>
  <si>
    <t>정원을 가꾸다</t>
  </si>
  <si>
    <t>My grandmother loves to garden.</t>
  </si>
  <si>
    <t>w-0251</t>
  </si>
  <si>
    <t>hobby</t>
  </si>
  <si>
    <t>취미</t>
  </si>
  <si>
    <t>My hobby is playing the piano.</t>
  </si>
  <si>
    <t>w-0252</t>
  </si>
  <si>
    <t>instrument</t>
  </si>
  <si>
    <t>악기</t>
  </si>
  <si>
    <t>She plays a musical instrument.</t>
  </si>
  <si>
    <t>w-0253</t>
  </si>
  <si>
    <t>photography</t>
  </si>
  <si>
    <t>사진 촬영</t>
  </si>
  <si>
    <t>Photography is his favorite hobby.</t>
  </si>
  <si>
    <t>w-0254</t>
  </si>
  <si>
    <t>craft</t>
  </si>
  <si>
    <t>공예</t>
  </si>
  <si>
    <t>We made a craft with paper.</t>
  </si>
  <si>
    <t>w-0255</t>
  </si>
  <si>
    <t>collection</t>
  </si>
  <si>
    <t>수집품</t>
  </si>
  <si>
    <t>He has a large coin collection.</t>
  </si>
  <si>
    <t>w-0256</t>
  </si>
  <si>
    <t>creativity</t>
  </si>
  <si>
    <t>창의력</t>
  </si>
  <si>
    <t>Art class helps develop creativity.</t>
  </si>
  <si>
    <t>w-0257</t>
  </si>
  <si>
    <t>leisure</t>
  </si>
  <si>
    <t>여가</t>
  </si>
  <si>
    <t>Reading is a great leisure activity.</t>
  </si>
  <si>
    <t>w-0258</t>
  </si>
  <si>
    <t>talent</t>
  </si>
  <si>
    <t>재능</t>
  </si>
  <si>
    <t>She has a talent for music.</t>
  </si>
  <si>
    <t>w-0259</t>
  </si>
  <si>
    <t>skill</t>
  </si>
  <si>
    <t>기술</t>
  </si>
  <si>
    <t>Practice improves your skill.</t>
  </si>
  <si>
    <t>w-0260</t>
  </si>
  <si>
    <t>passion</t>
  </si>
  <si>
    <t>열정</t>
  </si>
  <si>
    <t>He has a passion for drawing.</t>
  </si>
  <si>
    <t>w-0261</t>
  </si>
  <si>
    <t>Monday</t>
  </si>
  <si>
    <t>월요일</t>
  </si>
  <si>
    <t>I have music class on Monday.</t>
  </si>
  <si>
    <t>w-0262</t>
  </si>
  <si>
    <t>Tuesday</t>
  </si>
  <si>
    <t>화요일</t>
  </si>
  <si>
    <t>We have a test on Tuesday.</t>
  </si>
  <si>
    <t>w-0263</t>
  </si>
  <si>
    <t>today</t>
  </si>
  <si>
    <t>오늘</t>
  </si>
  <si>
    <t>w-0264</t>
  </si>
  <si>
    <t>tomorrow</t>
  </si>
  <si>
    <t>내일</t>
  </si>
  <si>
    <t>We have a trip tomorrow.</t>
  </si>
  <si>
    <t>w-0265</t>
  </si>
  <si>
    <t>yesterday</t>
  </si>
  <si>
    <t>어제</t>
  </si>
  <si>
    <t>It rained yesterday.</t>
  </si>
  <si>
    <t>w-0266</t>
  </si>
  <si>
    <t>Wednesday</t>
  </si>
  <si>
    <t>수요일</t>
  </si>
  <si>
    <t>We have art class on Wednesday.</t>
  </si>
  <si>
    <t>w-0267</t>
  </si>
  <si>
    <t>Thursday</t>
  </si>
  <si>
    <t>목요일</t>
  </si>
  <si>
    <t>The library is closed on Thursday.</t>
  </si>
  <si>
    <t>w-0268</t>
  </si>
  <si>
    <t>Friday</t>
  </si>
  <si>
    <t>금요일</t>
  </si>
  <si>
    <t>I love Fridays.</t>
  </si>
  <si>
    <t>w-0269</t>
  </si>
  <si>
    <t>week</t>
  </si>
  <si>
    <t>주(週)</t>
  </si>
  <si>
    <t>w-0270</t>
  </si>
  <si>
    <t>weekend</t>
  </si>
  <si>
    <t>주말</t>
  </si>
  <si>
    <t>I visit my grandparents on the weekend.</t>
  </si>
  <si>
    <t>w-0271</t>
  </si>
  <si>
    <t>Saturday</t>
  </si>
  <si>
    <t>토요일</t>
  </si>
  <si>
    <t>We go hiking on Saturday.</t>
  </si>
  <si>
    <t>w-0272</t>
  </si>
  <si>
    <t>Sunday</t>
  </si>
  <si>
    <t>일요일</t>
  </si>
  <si>
    <t>We rest on Sunday.</t>
  </si>
  <si>
    <t>w-0273</t>
  </si>
  <si>
    <t>month</t>
  </si>
  <si>
    <t>달(月)</t>
  </si>
  <si>
    <t>This month is very busy.</t>
  </si>
  <si>
    <t>w-0274</t>
  </si>
  <si>
    <t>calendar</t>
  </si>
  <si>
    <t>달력</t>
  </si>
  <si>
    <t>Check the calendar for the date.</t>
  </si>
  <si>
    <t>w-0275</t>
  </si>
  <si>
    <t>planner</t>
  </si>
  <si>
    <t>계획표</t>
  </si>
  <si>
    <t>I write my plans in a planner.</t>
  </si>
  <si>
    <t>w-0276</t>
  </si>
  <si>
    <t>century</t>
  </si>
  <si>
    <t>세기</t>
  </si>
  <si>
    <t>This building is over a century old.</t>
  </si>
  <si>
    <t>w-0277</t>
  </si>
  <si>
    <t>decade</t>
  </si>
  <si>
    <t>십 년</t>
  </si>
  <si>
    <t>A decade is ten years.</t>
  </si>
  <si>
    <t>w-0278</t>
  </si>
  <si>
    <t>anniversary</t>
  </si>
  <si>
    <t>기념일</t>
  </si>
  <si>
    <t>Today is their wedding anniversary.</t>
  </si>
  <si>
    <t>w-0279</t>
  </si>
  <si>
    <t>deadline</t>
  </si>
  <si>
    <t>마감일</t>
  </si>
  <si>
    <t>The homework deadline is Friday.</t>
  </si>
  <si>
    <t>w-0280</t>
  </si>
  <si>
    <t>punctual</t>
  </si>
  <si>
    <t>시간을 잘 지키는</t>
  </si>
  <si>
    <t>w-0281</t>
  </si>
  <si>
    <t>car</t>
  </si>
  <si>
    <t>자동차</t>
  </si>
  <si>
    <t>w-0282</t>
  </si>
  <si>
    <t>bus</t>
  </si>
  <si>
    <t>버스</t>
  </si>
  <si>
    <t>I take the bus to school.</t>
  </si>
  <si>
    <t>w-0283</t>
  </si>
  <si>
    <t>bike</t>
  </si>
  <si>
    <t>자전거</t>
  </si>
  <si>
    <t>I ride my bike every day.</t>
  </si>
  <si>
    <t>w-0284</t>
  </si>
  <si>
    <t>train</t>
  </si>
  <si>
    <t>기차</t>
  </si>
  <si>
    <t>The train arrived on time.</t>
  </si>
  <si>
    <t>w-0285</t>
  </si>
  <si>
    <t>taxi</t>
  </si>
  <si>
    <t>택시</t>
  </si>
  <si>
    <t>We took a taxi home.</t>
  </si>
  <si>
    <t>w-0286</t>
  </si>
  <si>
    <t>subway</t>
  </si>
  <si>
    <t>지하철</t>
  </si>
  <si>
    <t>The subway is fast and cheap.</t>
  </si>
  <si>
    <t>w-0287</t>
  </si>
  <si>
    <t>airplane</t>
  </si>
  <si>
    <t>비행기</t>
  </si>
  <si>
    <t>We flew home by airplane.</t>
  </si>
  <si>
    <t>w-0288</t>
  </si>
  <si>
    <t>ship</t>
  </si>
  <si>
    <t>The ship sailed across the sea.</t>
  </si>
  <si>
    <t>w-0289</t>
  </si>
  <si>
    <t>truck</t>
  </si>
  <si>
    <t>트럭</t>
  </si>
  <si>
    <t>The truck carried a lot of boxes.</t>
  </si>
  <si>
    <t>w-0290</t>
  </si>
  <si>
    <t>motorcycle</t>
  </si>
  <si>
    <t>오토바이</t>
  </si>
  <si>
    <t>He rides a motorcycle to work.</t>
  </si>
  <si>
    <t>w-0291</t>
  </si>
  <si>
    <t>traffic</t>
  </si>
  <si>
    <t>교통(량)</t>
  </si>
  <si>
    <t>There was heavy traffic this morning.</t>
  </si>
  <si>
    <t>w-0292</t>
  </si>
  <si>
    <t>passenger</t>
  </si>
  <si>
    <t>승객</t>
  </si>
  <si>
    <t>The bus was full of passengers.</t>
  </si>
  <si>
    <t>w-0293</t>
  </si>
  <si>
    <t>station</t>
  </si>
  <si>
    <t>역</t>
  </si>
  <si>
    <t>Meet me at the train station.</t>
  </si>
  <si>
    <t>w-0294</t>
  </si>
  <si>
    <t>ticket</t>
  </si>
  <si>
    <t>표</t>
  </si>
  <si>
    <t>I bought a ticket for the concert.</t>
  </si>
  <si>
    <t>w-0295</t>
  </si>
  <si>
    <t>highway</t>
  </si>
  <si>
    <t>고속도로</t>
  </si>
  <si>
    <t>We drove on the highway.</t>
  </si>
  <si>
    <t>w-0296</t>
  </si>
  <si>
    <t>vehicle</t>
  </si>
  <si>
    <t>차량</t>
  </si>
  <si>
    <t>Many vehicles were parked outside.</t>
  </si>
  <si>
    <t>w-0297</t>
  </si>
  <si>
    <t>transportation</t>
  </si>
  <si>
    <t>교통수단</t>
  </si>
  <si>
    <t>Public transportation is convenient.</t>
  </si>
  <si>
    <t>w-0298</t>
  </si>
  <si>
    <t>license</t>
  </si>
  <si>
    <t>면허(증)</t>
  </si>
  <si>
    <t>My dad got his driver's license.</t>
  </si>
  <si>
    <t>w-0299</t>
  </si>
  <si>
    <t>pedestrian</t>
  </si>
  <si>
    <t>보행자</t>
  </si>
  <si>
    <t>Drivers must watch for pedestrians.</t>
  </si>
  <si>
    <t>w-0300</t>
  </si>
  <si>
    <t>commute</t>
  </si>
  <si>
    <t>통근하다</t>
  </si>
  <si>
    <t>w-0301</t>
  </si>
  <si>
    <t>home</t>
  </si>
  <si>
    <t>집</t>
  </si>
  <si>
    <t>w-0302</t>
  </si>
  <si>
    <t>park</t>
  </si>
  <si>
    <t>공원</t>
  </si>
  <si>
    <t>We play in the park.</t>
  </si>
  <si>
    <t>w-0303</t>
  </si>
  <si>
    <t>store</t>
  </si>
  <si>
    <t>가게</t>
  </si>
  <si>
    <t>I bought bread at the store.</t>
  </si>
  <si>
    <t>w-0304</t>
  </si>
  <si>
    <t>playground</t>
  </si>
  <si>
    <t>놀이터</t>
  </si>
  <si>
    <t>Children play at the playground.</t>
  </si>
  <si>
    <t>w-0305</t>
  </si>
  <si>
    <t>zoo</t>
  </si>
  <si>
    <t>동물원</t>
  </si>
  <si>
    <t>We saw a lion at the zoo.</t>
  </si>
  <si>
    <t>w-0306</t>
  </si>
  <si>
    <t>hospital</t>
  </si>
  <si>
    <t>병원</t>
  </si>
  <si>
    <t>My mom works at a hospital.</t>
  </si>
  <si>
    <t>w-0307</t>
  </si>
  <si>
    <t>market</t>
  </si>
  <si>
    <t>시장</t>
  </si>
  <si>
    <t>We buy vegetables at the market.</t>
  </si>
  <si>
    <t>w-0308</t>
  </si>
  <si>
    <t>bakery</t>
  </si>
  <si>
    <t>빵집</t>
  </si>
  <si>
    <t>The bakery smells wonderful.</t>
  </si>
  <si>
    <t>w-0309</t>
  </si>
  <si>
    <t>bank</t>
  </si>
  <si>
    <t>은행</t>
  </si>
  <si>
    <t>My dad went to the bank.</t>
  </si>
  <si>
    <t>w-0310</t>
  </si>
  <si>
    <t>restaurant</t>
  </si>
  <si>
    <t>식당</t>
  </si>
  <si>
    <t>We had dinner at a restaurant.</t>
  </si>
  <si>
    <t>w-0311</t>
  </si>
  <si>
    <t>museum</t>
  </si>
  <si>
    <t>박물관</t>
  </si>
  <si>
    <t>We visited a science museum.</t>
  </si>
  <si>
    <t>w-0312</t>
  </si>
  <si>
    <t>downtown</t>
  </si>
  <si>
    <t>시내</t>
  </si>
  <si>
    <t>w-0313</t>
  </si>
  <si>
    <t>neighborhood</t>
  </si>
  <si>
    <t>동네</t>
  </si>
  <si>
    <t>I know everyone in my neighborhood.</t>
  </si>
  <si>
    <t>w-0314</t>
  </si>
  <si>
    <t>church</t>
  </si>
  <si>
    <t>교회</t>
  </si>
  <si>
    <t>They go to church on Sunday.</t>
  </si>
  <si>
    <t>w-0315</t>
  </si>
  <si>
    <t>theater</t>
  </si>
  <si>
    <t>극장</t>
  </si>
  <si>
    <t>We watched a movie at the theater.</t>
  </si>
  <si>
    <t>w-0316</t>
  </si>
  <si>
    <t>community</t>
  </si>
  <si>
    <t>지역사회</t>
  </si>
  <si>
    <t>The event brought the community together.</t>
  </si>
  <si>
    <t>w-0317</t>
  </si>
  <si>
    <t>facility</t>
  </si>
  <si>
    <t>시설</t>
  </si>
  <si>
    <t>The school has a new sports facility.</t>
  </si>
  <si>
    <t>w-0318</t>
  </si>
  <si>
    <t>landmark</t>
  </si>
  <si>
    <t>랜드마크</t>
  </si>
  <si>
    <t>The tower is a famous landmark.</t>
  </si>
  <si>
    <t>w-0319</t>
  </si>
  <si>
    <t>urban</t>
  </si>
  <si>
    <t>도시의</t>
  </si>
  <si>
    <t>Seoul is a large urban area.</t>
  </si>
  <si>
    <t>w-0320</t>
  </si>
  <si>
    <t>suburb</t>
  </si>
  <si>
    <t>교외</t>
  </si>
  <si>
    <t>We moved to a quiet suburb.</t>
  </si>
  <si>
    <t>w-0321</t>
  </si>
  <si>
    <t>doctor</t>
  </si>
  <si>
    <t>의사</t>
  </si>
  <si>
    <t>The doctor helped my grandmother.</t>
  </si>
  <si>
    <t>w-0322</t>
  </si>
  <si>
    <t>nurse</t>
  </si>
  <si>
    <t>간호사</t>
  </si>
  <si>
    <t>The nurse was very kind.</t>
  </si>
  <si>
    <t>w-0323</t>
  </si>
  <si>
    <t>farmer</t>
  </si>
  <si>
    <t>농부</t>
  </si>
  <si>
    <t>The farmer grows rice.</t>
  </si>
  <si>
    <t>w-0324</t>
  </si>
  <si>
    <t>cook</t>
  </si>
  <si>
    <t>요리사</t>
  </si>
  <si>
    <t>The cook made a delicious meal.</t>
  </si>
  <si>
    <t>w-0325</t>
  </si>
  <si>
    <t>police officer</t>
  </si>
  <si>
    <t>경찰관</t>
  </si>
  <si>
    <t>The police officer helped us cross the street.</t>
  </si>
  <si>
    <t>w-0326</t>
  </si>
  <si>
    <t>firefighter</t>
  </si>
  <si>
    <t>소방관</t>
  </si>
  <si>
    <t>The firefighter saved the cat.</t>
  </si>
  <si>
    <t>w-0327</t>
  </si>
  <si>
    <t>pilot</t>
  </si>
  <si>
    <t>조종사</t>
  </si>
  <si>
    <t>The pilot flew the plane safely.</t>
  </si>
  <si>
    <t>w-0328</t>
  </si>
  <si>
    <t>singer</t>
  </si>
  <si>
    <t>가수</t>
  </si>
  <si>
    <t>My favorite singer released a new song.</t>
  </si>
  <si>
    <t>w-0329</t>
  </si>
  <si>
    <t>dancer</t>
  </si>
  <si>
    <t>무용수</t>
  </si>
  <si>
    <t>The dancer moved gracefully.</t>
  </si>
  <si>
    <t>w-0330</t>
  </si>
  <si>
    <t>artist</t>
  </si>
  <si>
    <t>예술가</t>
  </si>
  <si>
    <t>The artist painted a beautiful picture.</t>
  </si>
  <si>
    <t>w-0331</t>
  </si>
  <si>
    <t>engineer</t>
  </si>
  <si>
    <t>엔지니어</t>
  </si>
  <si>
    <t>The engineer designed a new bridge.</t>
  </si>
  <si>
    <t>w-0332</t>
  </si>
  <si>
    <t>scientist</t>
  </si>
  <si>
    <t>과학자</t>
  </si>
  <si>
    <t>The scientist studies stars.</t>
  </si>
  <si>
    <t>w-0333</t>
  </si>
  <si>
    <t>designer</t>
  </si>
  <si>
    <t>디자이너</t>
  </si>
  <si>
    <t>She wants to be a fashion designer.</t>
  </si>
  <si>
    <t>w-0334</t>
  </si>
  <si>
    <t>writer</t>
  </si>
  <si>
    <t>작가</t>
  </si>
  <si>
    <t>The writer finished a new book.</t>
  </si>
  <si>
    <t>w-0335</t>
  </si>
  <si>
    <t>photographer</t>
  </si>
  <si>
    <t>사진작가</t>
  </si>
  <si>
    <t>The photographer took amazing pictures.</t>
  </si>
  <si>
    <t>w-0336</t>
  </si>
  <si>
    <t>profession</t>
  </si>
  <si>
    <t>직업</t>
  </si>
  <si>
    <t>Teaching is a respected profession.</t>
  </si>
  <si>
    <t>w-0337</t>
  </si>
  <si>
    <t>career</t>
  </si>
  <si>
    <t>경력</t>
  </si>
  <si>
    <t>She built a career in medicine.</t>
  </si>
  <si>
    <t>w-0338</t>
  </si>
  <si>
    <t>occupation</t>
  </si>
  <si>
    <t>What is your father's occupation?</t>
  </si>
  <si>
    <t>w-0339</t>
  </si>
  <si>
    <t>employee</t>
  </si>
  <si>
    <t>직원</t>
  </si>
  <si>
    <t>He is a new employee at the company.</t>
  </si>
  <si>
    <t>w-0340</t>
  </si>
  <si>
    <t>entrepreneur</t>
  </si>
  <si>
    <t>사업가</t>
  </si>
  <si>
    <t>The entrepreneur started her own business.</t>
  </si>
  <si>
    <t>w-0341</t>
  </si>
  <si>
    <t>happy</t>
  </si>
  <si>
    <t>행복한</t>
  </si>
  <si>
    <t>w-0342</t>
  </si>
  <si>
    <t>sad</t>
  </si>
  <si>
    <t>슬픈</t>
  </si>
  <si>
    <t>She looks sad.</t>
  </si>
  <si>
    <t>w-0343</t>
  </si>
  <si>
    <t>angry</t>
  </si>
  <si>
    <t>화난</t>
  </si>
  <si>
    <t>He is angry with his brother.</t>
  </si>
  <si>
    <t>w-0344</t>
  </si>
  <si>
    <t>tired</t>
  </si>
  <si>
    <t>피곤한</t>
  </si>
  <si>
    <t>I am tired after school.</t>
  </si>
  <si>
    <t>w-0345</t>
  </si>
  <si>
    <t>hungry</t>
  </si>
  <si>
    <t>배고픈</t>
  </si>
  <si>
    <t>I am hungry now.</t>
  </si>
  <si>
    <t>w-0346</t>
  </si>
  <si>
    <t>excited</t>
  </si>
  <si>
    <t>신난</t>
  </si>
  <si>
    <t>We are excited about the trip.</t>
  </si>
  <si>
    <t>w-0347</t>
  </si>
  <si>
    <t>scared</t>
  </si>
  <si>
    <t>무서운</t>
  </si>
  <si>
    <t>She was scared of the dark.</t>
  </si>
  <si>
    <t>w-0348</t>
  </si>
  <si>
    <t>surprised</t>
  </si>
  <si>
    <t>놀란</t>
  </si>
  <si>
    <t>I was surprised by the gift.</t>
  </si>
  <si>
    <t>w-0349</t>
  </si>
  <si>
    <t>bored</t>
  </si>
  <si>
    <t>지루한</t>
  </si>
  <si>
    <t>He looked bored during the class.</t>
  </si>
  <si>
    <t>w-0350</t>
  </si>
  <si>
    <t>nervous</t>
  </si>
  <si>
    <t>긴장한</t>
  </si>
  <si>
    <t>I felt nervous before the test.</t>
  </si>
  <si>
    <t>w-0351</t>
  </si>
  <si>
    <t>proud</t>
  </si>
  <si>
    <t>자랑스러운</t>
  </si>
  <si>
    <t>My parents are proud of me.</t>
  </si>
  <si>
    <t>w-0352</t>
  </si>
  <si>
    <t>worried</t>
  </si>
  <si>
    <t>걱정하는</t>
  </si>
  <si>
    <t>She was worried about the exam.</t>
  </si>
  <si>
    <t>w-0353</t>
  </si>
  <si>
    <t>jealous</t>
  </si>
  <si>
    <t>질투하는</t>
  </si>
  <si>
    <t>He felt jealous of his friend.</t>
  </si>
  <si>
    <t>w-0354</t>
  </si>
  <si>
    <t>confident</t>
  </si>
  <si>
    <t>자신 있는</t>
  </si>
  <si>
    <t>She felt confident about her speech.</t>
  </si>
  <si>
    <t>w-0355</t>
  </si>
  <si>
    <t>disappointed</t>
  </si>
  <si>
    <t>실망한</t>
  </si>
  <si>
    <t>He was disappointed with the result.</t>
  </si>
  <si>
    <t>w-0356</t>
  </si>
  <si>
    <t>emotion</t>
  </si>
  <si>
    <t>감정</t>
  </si>
  <si>
    <t>It is okay to show your emotions.</t>
  </si>
  <si>
    <t>w-0357</t>
  </si>
  <si>
    <t>anxious</t>
  </si>
  <si>
    <t>불안한</t>
  </si>
  <si>
    <t>She felt anxious before the interview.</t>
  </si>
  <si>
    <t>w-0358</t>
  </si>
  <si>
    <t>embarrassed</t>
  </si>
  <si>
    <t>당황한</t>
  </si>
  <si>
    <t>He was embarrassed by his mistake.</t>
  </si>
  <si>
    <t>w-0359</t>
  </si>
  <si>
    <t>grateful</t>
  </si>
  <si>
    <t>감사하는</t>
  </si>
  <si>
    <t>w-0360</t>
  </si>
  <si>
    <t>frustrated</t>
  </si>
  <si>
    <t>좌절한</t>
  </si>
  <si>
    <t>He felt frustrated with the puzzle.</t>
  </si>
  <si>
    <t>w-0361</t>
  </si>
  <si>
    <t>buy</t>
  </si>
  <si>
    <t>사다</t>
  </si>
  <si>
    <t>I want to buy a new toy.</t>
  </si>
  <si>
    <t>w-0362</t>
  </si>
  <si>
    <t>sell</t>
  </si>
  <si>
    <t>팔다</t>
  </si>
  <si>
    <t>w-0363</t>
  </si>
  <si>
    <t>money</t>
  </si>
  <si>
    <t>돈</t>
  </si>
  <si>
    <t>I saved my money.</t>
  </si>
  <si>
    <t>w-0364</t>
  </si>
  <si>
    <t>price</t>
  </si>
  <si>
    <t>가격</t>
  </si>
  <si>
    <t>The price is too high.</t>
  </si>
  <si>
    <t>w-0365</t>
  </si>
  <si>
    <t>shop</t>
  </si>
  <si>
    <t>상점</t>
  </si>
  <si>
    <t>We went to the shop together.</t>
  </si>
  <si>
    <t>w-0366</t>
  </si>
  <si>
    <t>cash</t>
  </si>
  <si>
    <t>현금</t>
  </si>
  <si>
    <t>I paid in cash.</t>
  </si>
  <si>
    <t>w-0367</t>
  </si>
  <si>
    <t>coin</t>
  </si>
  <si>
    <t>동전</t>
  </si>
  <si>
    <t>He dropped a coin on the floor.</t>
  </si>
  <si>
    <t>w-0368</t>
  </si>
  <si>
    <t>bill</t>
  </si>
  <si>
    <t>지폐</t>
  </si>
  <si>
    <t>She gave me a ten dollar bill.</t>
  </si>
  <si>
    <t>w-0369</t>
  </si>
  <si>
    <t>receipt</t>
  </si>
  <si>
    <t>영수증</t>
  </si>
  <si>
    <t>Keep your receipt for the return.</t>
  </si>
  <si>
    <t>w-0370</t>
  </si>
  <si>
    <t>discount</t>
  </si>
  <si>
    <t>할인</t>
  </si>
  <si>
    <t>The shirt is on discount today.</t>
  </si>
  <si>
    <t>w-0371</t>
  </si>
  <si>
    <t>customer</t>
  </si>
  <si>
    <t>고객</t>
  </si>
  <si>
    <t>The customer asked for help.</t>
  </si>
  <si>
    <t>w-0372</t>
  </si>
  <si>
    <t>cashier</t>
  </si>
  <si>
    <t>계산원</t>
  </si>
  <si>
    <t>The cashier counted my change.</t>
  </si>
  <si>
    <t>w-0373</t>
  </si>
  <si>
    <t>cart</t>
  </si>
  <si>
    <t>카트</t>
  </si>
  <si>
    <t>She pushed the cart down the aisle.</t>
  </si>
  <si>
    <t>w-0374</t>
  </si>
  <si>
    <t>mall</t>
  </si>
  <si>
    <t>쇼핑몰</t>
  </si>
  <si>
    <t>We spent the afternoon at the mall.</t>
  </si>
  <si>
    <t>w-0375</t>
  </si>
  <si>
    <t>bargain</t>
  </si>
  <si>
    <t>흥정하다</t>
  </si>
  <si>
    <t>He tried to bargain for a lower price.</t>
  </si>
  <si>
    <t>w-0376</t>
  </si>
  <si>
    <t>budget</t>
  </si>
  <si>
    <t>예산</t>
  </si>
  <si>
    <t>We made a budget for the trip.</t>
  </si>
  <si>
    <t>w-0377</t>
  </si>
  <si>
    <t>expense</t>
  </si>
  <si>
    <t>지출</t>
  </si>
  <si>
    <t>Food is our biggest expense.</t>
  </si>
  <si>
    <t>w-0378</t>
  </si>
  <si>
    <t>refund</t>
  </si>
  <si>
    <t>환불</t>
  </si>
  <si>
    <t>She asked for a refund.</t>
  </si>
  <si>
    <t>w-0379</t>
  </si>
  <si>
    <t>purchase</t>
  </si>
  <si>
    <t>구매(하다)</t>
  </si>
  <si>
    <t>He made a purchase online.</t>
  </si>
  <si>
    <t>w-0380</t>
  </si>
  <si>
    <t>consumer</t>
  </si>
  <si>
    <t>소비자</t>
  </si>
  <si>
    <t>Consumers want good quality products.</t>
  </si>
  <si>
    <t>w-0381</t>
  </si>
  <si>
    <t>house</t>
  </si>
  <si>
    <t>I live in a small house.</t>
  </si>
  <si>
    <t>w-0382</t>
  </si>
  <si>
    <t>room</t>
  </si>
  <si>
    <t>방</t>
  </si>
  <si>
    <t>This is my room.</t>
  </si>
  <si>
    <t>w-0383</t>
  </si>
  <si>
    <t>bed</t>
  </si>
  <si>
    <t>침대</t>
  </si>
  <si>
    <t>My bed is soft.</t>
  </si>
  <si>
    <t>w-0384</t>
  </si>
  <si>
    <t>table</t>
  </si>
  <si>
    <t>탁자</t>
  </si>
  <si>
    <t>The book is on the table.</t>
  </si>
  <si>
    <t>w-0385</t>
  </si>
  <si>
    <t>door</t>
  </si>
  <si>
    <t>문</t>
  </si>
  <si>
    <t>Please close the door.</t>
  </si>
  <si>
    <t>w-0386</t>
  </si>
  <si>
    <t>kitchen</t>
  </si>
  <si>
    <t>부엌</t>
  </si>
  <si>
    <t>My mom cooks in the kitchen.</t>
  </si>
  <si>
    <t>w-0387</t>
  </si>
  <si>
    <t>bathroom</t>
  </si>
  <si>
    <t>욕실</t>
  </si>
  <si>
    <t>The bathroom is upstairs.</t>
  </si>
  <si>
    <t>w-0388</t>
  </si>
  <si>
    <t>window</t>
  </si>
  <si>
    <t>창문</t>
  </si>
  <si>
    <t>Open the window, please.</t>
  </si>
  <si>
    <t>w-0389</t>
  </si>
  <si>
    <t>sofa</t>
  </si>
  <si>
    <t>소파</t>
  </si>
  <si>
    <t>We sat on the sofa.</t>
  </si>
  <si>
    <t>w-0390</t>
  </si>
  <si>
    <t>lamp</t>
  </si>
  <si>
    <t>램프</t>
  </si>
  <si>
    <t>Turn on the lamp.</t>
  </si>
  <si>
    <t>w-0391</t>
  </si>
  <si>
    <t>furniture</t>
  </si>
  <si>
    <t>가구</t>
  </si>
  <si>
    <t>We bought new furniture for the living room.</t>
  </si>
  <si>
    <t>w-0392</t>
  </si>
  <si>
    <t>garage</t>
  </si>
  <si>
    <t>차고</t>
  </si>
  <si>
    <t>w-0393</t>
  </si>
  <si>
    <t>roof</t>
  </si>
  <si>
    <t>지붕</t>
  </si>
  <si>
    <t>Snow covered the roof.</t>
  </si>
  <si>
    <t>w-0394</t>
  </si>
  <si>
    <t>hallway</t>
  </si>
  <si>
    <t>복도</t>
  </si>
  <si>
    <t>w-0395</t>
  </si>
  <si>
    <t>closet</t>
  </si>
  <si>
    <t>w-0396</t>
  </si>
  <si>
    <t>residence</t>
  </si>
  <si>
    <t>거주지</t>
  </si>
  <si>
    <t>This building is a private residence.</t>
  </si>
  <si>
    <t>w-0397</t>
  </si>
  <si>
    <t>architecture</t>
  </si>
  <si>
    <t>건축</t>
  </si>
  <si>
    <t>She studies architecture at university.</t>
  </si>
  <si>
    <t>w-0398</t>
  </si>
  <si>
    <t>structure</t>
  </si>
  <si>
    <t>구조</t>
  </si>
  <si>
    <t>The bridge has a strong structure.</t>
  </si>
  <si>
    <t>w-0399</t>
  </si>
  <si>
    <t>interior</t>
  </si>
  <si>
    <t>실내</t>
  </si>
  <si>
    <t>The interior of the house is bright.</t>
  </si>
  <si>
    <t>w-0400</t>
  </si>
  <si>
    <t>spacious</t>
  </si>
  <si>
    <t>넓은</t>
  </si>
  <si>
    <t>Their new apartment is very spacious.</t>
  </si>
  <si>
    <r>
      <rPr>
        <sz val="9"/>
        <color rgb="FF666666"/>
        <rFont val="Arial"/>
        <family val="2"/>
        <charset val="1"/>
      </rPr>
      <t>※ A~F</t>
    </r>
    <r>
      <rPr>
        <sz val="9"/>
        <color rgb="FF666666"/>
        <rFont val="Noto Sans CJK SC"/>
        <family val="2"/>
      </rPr>
      <t xml:space="preserve">열이 </t>
    </r>
    <r>
      <rPr>
        <sz val="9"/>
        <color rgb="FF666666"/>
        <rFont val="Arial"/>
        <family val="2"/>
        <charset val="1"/>
      </rPr>
      <t xml:space="preserve">words.csv </t>
    </r>
    <r>
      <rPr>
        <sz val="9"/>
        <color rgb="FF666666"/>
        <rFont val="Noto Sans CJK SC"/>
        <family val="2"/>
      </rPr>
      <t>납품 컬럼</t>
    </r>
    <r>
      <rPr>
        <sz val="9"/>
        <color rgb="FF666666"/>
        <rFont val="Arial"/>
        <family val="2"/>
        <charset val="1"/>
      </rPr>
      <t xml:space="preserve">. </t>
    </r>
    <r>
      <rPr>
        <sz val="9"/>
        <color rgb="FF666666"/>
        <rFont val="Noto Sans CJK SC"/>
        <family val="2"/>
      </rPr>
      <t xml:space="preserve">목표 </t>
    </r>
    <r>
      <rPr>
        <sz val="9"/>
        <color rgb="FF666666"/>
        <rFont val="Arial"/>
        <family val="2"/>
        <charset val="1"/>
      </rPr>
      <t>40</t>
    </r>
    <r>
      <rPr>
        <sz val="9"/>
        <color rgb="FF666666"/>
        <rFont val="Noto Sans CJK SC"/>
        <family val="2"/>
      </rPr>
      <t>개</t>
    </r>
    <r>
      <rPr>
        <sz val="9"/>
        <color rgb="FF666666"/>
        <rFont val="Arial"/>
        <family val="2"/>
        <charset val="1"/>
      </rPr>
      <t xml:space="preserve">. ncic · yle_level </t>
    </r>
    <r>
      <rPr>
        <sz val="9"/>
        <color rgb="FF666666"/>
        <rFont val="Noto Sans CJK SC"/>
        <family val="2"/>
      </rPr>
      <t>은 작업용이며 초</t>
    </r>
    <r>
      <rPr>
        <sz val="9"/>
        <color rgb="FF666666"/>
        <rFont val="Arial"/>
        <family val="2"/>
        <charset val="1"/>
      </rPr>
      <t xml:space="preserve">3 </t>
    </r>
    <r>
      <rPr>
        <sz val="9"/>
        <color rgb="FF666666"/>
        <rFont val="Noto Sans CJK SC"/>
        <family val="2"/>
      </rPr>
      <t>난이도 대조용이다</t>
    </r>
    <r>
      <rPr>
        <sz val="9"/>
        <color rgb="FF666666"/>
        <rFont val="Arial"/>
        <family val="2"/>
        <charset val="1"/>
      </rPr>
      <t xml:space="preserve">. </t>
    </r>
    <r>
      <rPr>
        <sz val="9"/>
        <color rgb="FF666666"/>
        <rFont val="Noto Sans CJK SC"/>
        <family val="2"/>
      </rPr>
      <t>빈 칸은 아직 원본과 대조하지 않았다는 뜻이다</t>
    </r>
    <r>
      <rPr>
        <sz val="9"/>
        <color rgb="FF666666"/>
        <rFont val="Arial"/>
        <family val="2"/>
        <charset val="1"/>
      </rPr>
      <t>(</t>
    </r>
    <r>
      <rPr>
        <sz val="9"/>
        <color rgb="FF666666"/>
        <rFont val="Noto Sans CJK SC"/>
        <family val="2"/>
      </rPr>
      <t>추측으로 채우지 말 것</t>
    </r>
    <r>
      <rPr>
        <sz val="9"/>
        <color rgb="FF666666"/>
        <rFont val="Arial"/>
        <family val="2"/>
        <charset val="1"/>
      </rPr>
      <t xml:space="preserve">). plan-B </t>
    </r>
    <r>
      <rPr>
        <sz val="9"/>
        <color rgb="FF666666"/>
        <rFont val="Noto Sans CJK SC"/>
        <family val="2"/>
      </rPr>
      <t xml:space="preserve">는 규칙 학습이 중심이라 </t>
    </r>
    <r>
      <rPr>
        <sz val="9"/>
        <color rgb="FF666666"/>
        <rFont val="Arial"/>
        <family val="2"/>
        <charset val="1"/>
      </rPr>
      <t xml:space="preserve">Starters </t>
    </r>
    <r>
      <rPr>
        <sz val="9"/>
        <color rgb="FF666666"/>
        <rFont val="Noto Sans CJK SC"/>
        <family val="2"/>
      </rPr>
      <t xml:space="preserve">기준을 그대로 적용할지는 팀 판단이 필요하다 — </t>
    </r>
    <r>
      <rPr>
        <sz val="9"/>
        <color rgb="FF666666"/>
        <rFont val="Arial"/>
        <family val="2"/>
        <charset val="1"/>
      </rPr>
      <t xml:space="preserve">00_README </t>
    </r>
    <r>
      <rPr>
        <sz val="9"/>
        <color rgb="FF666666"/>
        <rFont val="Noto Sans CJK SC"/>
        <family val="2"/>
      </rPr>
      <t>참고</t>
    </r>
    <r>
      <rPr>
        <sz val="9"/>
        <color rgb="FF666666"/>
        <rFont val="Arial"/>
        <family val="2"/>
        <charset val="1"/>
      </rPr>
      <t>. w-0001~w-0400(400</t>
    </r>
    <r>
      <rPr>
        <sz val="9"/>
        <color rgb="FF666666"/>
        <rFont val="Noto Sans CJK SC"/>
        <family val="2"/>
      </rPr>
      <t>개</t>
    </r>
    <r>
      <rPr>
        <sz val="9"/>
        <color rgb="FF666666"/>
        <rFont val="Arial"/>
        <family val="2"/>
        <charset val="1"/>
      </rPr>
      <t xml:space="preserve">, </t>
    </r>
    <r>
      <rPr>
        <sz val="9"/>
        <color rgb="FF666666"/>
        <rFont val="Noto Sans CJK SC"/>
        <family val="2"/>
      </rPr>
      <t xml:space="preserve">행 </t>
    </r>
    <r>
      <rPr>
        <sz val="9"/>
        <color rgb="FF666666"/>
        <rFont val="Arial"/>
        <family val="2"/>
        <charset val="1"/>
      </rPr>
      <t>2~401)</t>
    </r>
    <r>
      <rPr>
        <sz val="9"/>
        <color rgb="FF666666"/>
        <rFont val="Noto Sans CJK SC"/>
        <family val="2"/>
      </rPr>
      <t xml:space="preserve">은 </t>
    </r>
    <r>
      <rPr>
        <sz val="9"/>
        <color rgb="FF666666"/>
        <rFont val="Arial"/>
        <family val="2"/>
        <charset val="1"/>
      </rPr>
      <t xml:space="preserve">Unit01~Unit20 </t>
    </r>
    <r>
      <rPr>
        <sz val="9"/>
        <color rgb="FF666666"/>
        <rFont val="Noto Sans CJK SC"/>
        <family val="2"/>
      </rPr>
      <t>확장 세트의 단어다</t>
    </r>
    <r>
      <rPr>
        <sz val="9"/>
        <color rgb="FF666666"/>
        <rFont val="Arial"/>
        <family val="2"/>
        <charset val="1"/>
      </rPr>
      <t>(</t>
    </r>
    <r>
      <rPr>
        <sz val="9"/>
        <color rgb="FF666666"/>
        <rFont val="Noto Sans CJK SC"/>
        <family val="2"/>
      </rPr>
      <t xml:space="preserve">주제 </t>
    </r>
    <r>
      <rPr>
        <sz val="9"/>
        <color rgb="FF666666"/>
        <rFont val="Arial"/>
        <family val="2"/>
        <charset val="1"/>
      </rPr>
      <t>20</t>
    </r>
    <r>
      <rPr>
        <sz val="9"/>
        <color rgb="FF666666"/>
        <rFont val="Noto Sans CJK SC"/>
        <family val="2"/>
      </rPr>
      <t xml:space="preserve">개 </t>
    </r>
    <r>
      <rPr>
        <sz val="9"/>
        <color rgb="FF666666"/>
        <rFont val="Arial"/>
        <family val="2"/>
        <charset val="1"/>
      </rPr>
      <t>x 20</t>
    </r>
    <r>
      <rPr>
        <sz val="9"/>
        <color rgb="FF666666"/>
        <rFont val="Noto Sans CJK SC"/>
        <family val="2"/>
      </rPr>
      <t>단어</t>
    </r>
    <r>
      <rPr>
        <sz val="9"/>
        <color rgb="FF666666"/>
        <rFont val="Arial"/>
        <family val="2"/>
        <charset val="1"/>
      </rPr>
      <t xml:space="preserve">, </t>
    </r>
    <r>
      <rPr>
        <sz val="9"/>
        <color rgb="FF666666"/>
        <rFont val="Noto Sans CJK SC"/>
        <family val="2"/>
      </rPr>
      <t xml:space="preserve">학년 혼합 </t>
    </r>
    <r>
      <rPr>
        <sz val="9"/>
        <color rgb="FF666666"/>
        <rFont val="Arial"/>
        <family val="2"/>
        <charset val="1"/>
      </rPr>
      <t xml:space="preserve">3~6). ncic·yle_level </t>
    </r>
    <r>
      <rPr>
        <sz val="9"/>
        <color rgb="FF666666"/>
        <rFont val="Noto Sans CJK SC"/>
        <family val="2"/>
      </rPr>
      <t>은 미검수 상태로 비워 두었다</t>
    </r>
    <r>
      <rPr>
        <sz val="9"/>
        <color rgb="FF666666"/>
        <rFont val="Arial"/>
        <family val="2"/>
        <charset val="1"/>
      </rPr>
      <t>(</t>
    </r>
    <r>
      <rPr>
        <sz val="9"/>
        <color rgb="FF666666"/>
        <rFont val="Noto Sans CJK SC"/>
        <family val="2"/>
      </rPr>
      <t>추측으로 채우지 않음</t>
    </r>
    <r>
      <rPr>
        <sz val="9"/>
        <color rgb="FF666666"/>
        <rFont val="Arial"/>
        <family val="2"/>
        <charset val="1"/>
      </rPr>
      <t>). chk_id</t>
    </r>
    <r>
      <rPr>
        <sz val="9"/>
        <color rgb="FF666666"/>
        <rFont val="Noto Sans CJK SC"/>
        <family val="2"/>
      </rPr>
      <t>중복 범위는 전체 행</t>
    </r>
    <r>
      <rPr>
        <sz val="9"/>
        <color rgb="FF666666"/>
        <rFont val="Arial"/>
        <family val="2"/>
        <charset val="1"/>
      </rPr>
      <t>($A$2:$A$401)</t>
    </r>
    <r>
      <rPr>
        <sz val="9"/>
        <color rgb="FF666666"/>
        <rFont val="Noto Sans CJK SC"/>
        <family val="2"/>
      </rPr>
      <t>으로 넓혔다</t>
    </r>
    <r>
      <rPr>
        <sz val="9"/>
        <color rgb="FF666666"/>
        <rFont val="Arial"/>
        <family val="2"/>
        <charset val="1"/>
      </rPr>
      <t>.</t>
    </r>
  </si>
  <si>
    <t>error</t>
  </si>
  <si>
    <t>correct</t>
  </si>
  <si>
    <t>target</t>
  </si>
  <si>
    <t>fix</t>
  </si>
  <si>
    <r>
      <rPr>
        <b/>
        <sz val="10"/>
        <color rgb="FFFFFFFF"/>
        <rFont val="Arial"/>
        <family val="2"/>
        <charset val="1"/>
      </rPr>
      <t>distractors (;</t>
    </r>
    <r>
      <rPr>
        <b/>
        <sz val="10"/>
        <color rgb="FFFFFFFF"/>
        <rFont val="Noto Sans CJK SC"/>
        <family val="2"/>
      </rPr>
      <t>구분</t>
    </r>
    <r>
      <rPr>
        <b/>
        <sz val="10"/>
        <color rgb="FFFFFFFF"/>
        <rFont val="Arial"/>
        <family val="2"/>
        <charset val="1"/>
      </rPr>
      <t>)</t>
    </r>
  </si>
  <si>
    <r>
      <rPr>
        <b/>
        <sz val="10"/>
        <color rgb="FFFFFFFF"/>
        <rFont val="Arial"/>
        <family val="2"/>
        <charset val="1"/>
      </rPr>
      <t>chk_</t>
    </r>
    <r>
      <rPr>
        <b/>
        <sz val="10"/>
        <color rgb="FFFFFFFF"/>
        <rFont val="Noto Sans CJK SC"/>
        <family val="2"/>
      </rPr>
      <t>동일문장</t>
    </r>
  </si>
  <si>
    <r>
      <rPr>
        <b/>
        <sz val="10"/>
        <color rgb="FFFFFFFF"/>
        <rFont val="Arial"/>
        <family val="2"/>
        <charset val="1"/>
      </rPr>
      <t>chk_</t>
    </r>
    <r>
      <rPr>
        <b/>
        <sz val="10"/>
        <color rgb="FFFFFFFF"/>
        <rFont val="Noto Sans CJK SC"/>
        <family val="2"/>
      </rPr>
      <t>보기수</t>
    </r>
  </si>
  <si>
    <t>E-0001</t>
  </si>
  <si>
    <t>Hello Tom</t>
  </si>
  <si>
    <t>—;—;—</t>
  </si>
  <si>
    <t>E-0002</t>
  </si>
  <si>
    <t>Hi Amy.</t>
  </si>
  <si>
    <t>Hi Amy</t>
  </si>
  <si>
    <t>E-0003</t>
  </si>
  <si>
    <t>Bye Mike.</t>
  </si>
  <si>
    <t>Bye Mike</t>
  </si>
  <si>
    <t>E-0004</t>
  </si>
  <si>
    <t>Good morning.</t>
  </si>
  <si>
    <t>morning.</t>
  </si>
  <si>
    <t>morning!</t>
  </si>
  <si>
    <t>E-0005</t>
  </si>
  <si>
    <t>Good night.</t>
  </si>
  <si>
    <t>night.</t>
  </si>
  <si>
    <t>night!</t>
  </si>
  <si>
    <t>E-0006</t>
  </si>
  <si>
    <t>Goodbye Mom.</t>
  </si>
  <si>
    <t>Goodbye Mom</t>
  </si>
  <si>
    <t>E-0007</t>
  </si>
  <si>
    <t>Thanks Dad.</t>
  </si>
  <si>
    <t>Thanks Dad</t>
  </si>
  <si>
    <t>E-0008</t>
  </si>
  <si>
    <t>I sorry</t>
  </si>
  <si>
    <t>I am sorry</t>
  </si>
  <si>
    <t>E-0009</t>
  </si>
  <si>
    <t>E-0010</t>
  </si>
  <si>
    <t>Welcome everyone.</t>
  </si>
  <si>
    <t>Welcome everyone</t>
  </si>
  <si>
    <t>E-0011</t>
  </si>
  <si>
    <t>She greet her teacher every morning.</t>
  </si>
  <si>
    <t>greets</t>
  </si>
  <si>
    <t>greeting;greeted;to greet</t>
  </si>
  <si>
    <t>E-0012</t>
  </si>
  <si>
    <t>She introduce her new friend to the class.</t>
  </si>
  <si>
    <t>introduces</t>
  </si>
  <si>
    <t>introduceing;introduced;to introduce</t>
  </si>
  <si>
    <t>E-0013</t>
  </si>
  <si>
    <t>She apologize to her friend.</t>
  </si>
  <si>
    <t>apologizes</t>
  </si>
  <si>
    <t>apologizeing;apologized;to apologize</t>
  </si>
  <si>
    <t>E-0014</t>
  </si>
  <si>
    <t>She thank her parents every day.</t>
  </si>
  <si>
    <t>thanking;thanked;to thank</t>
  </si>
  <si>
    <t>E-0015</t>
  </si>
  <si>
    <t>She invite her friends to the party.</t>
  </si>
  <si>
    <t>invites</t>
  </si>
  <si>
    <t>inviteing;invited;to invite</t>
  </si>
  <si>
    <t>E-0016</t>
  </si>
  <si>
    <t>She appreciate her friends' help.</t>
  </si>
  <si>
    <t>appreciates</t>
  </si>
  <si>
    <t>appreciateing;appreciated;to appreciate</t>
  </si>
  <si>
    <t>E-0017</t>
  </si>
  <si>
    <t>It was an farewell.</t>
  </si>
  <si>
    <t>an</t>
  </si>
  <si>
    <t>a</t>
  </si>
  <si>
    <t>the;some;—</t>
  </si>
  <si>
    <t>E-0018</t>
  </si>
  <si>
    <t>It was an greeting.</t>
  </si>
  <si>
    <t>E-0019</t>
  </si>
  <si>
    <t>She very polite.</t>
  </si>
  <si>
    <t>She very polite</t>
  </si>
  <si>
    <t>She is very polite</t>
  </si>
  <si>
    <t>E-0020</t>
  </si>
  <si>
    <t>This letter formal.</t>
  </si>
  <si>
    <t>This letter formal</t>
  </si>
  <si>
    <t>This letter is formal</t>
  </si>
  <si>
    <t>E-0021</t>
  </si>
  <si>
    <t>This is my moms.</t>
  </si>
  <si>
    <t>moms</t>
  </si>
  <si>
    <t>E-0022</t>
  </si>
  <si>
    <t>This is my dads.</t>
  </si>
  <si>
    <t>dads</t>
  </si>
  <si>
    <t>E-0023</t>
  </si>
  <si>
    <t>This is my sisters.</t>
  </si>
  <si>
    <t>sisters</t>
  </si>
  <si>
    <t>E-0024</t>
  </si>
  <si>
    <t>This is my brothers.</t>
  </si>
  <si>
    <t>brothers</t>
  </si>
  <si>
    <t>E-0025</t>
  </si>
  <si>
    <t>This is my babies.</t>
  </si>
  <si>
    <t>babies</t>
  </si>
  <si>
    <t>E-0026</t>
  </si>
  <si>
    <t>She is grandmother.</t>
  </si>
  <si>
    <t>my grandmother</t>
  </si>
  <si>
    <t>the grandmother;a grandmother;—</t>
  </si>
  <si>
    <t>E-0027</t>
  </si>
  <si>
    <t>She is grandfather.</t>
  </si>
  <si>
    <t>my grandfather</t>
  </si>
  <si>
    <t>the grandfather;a grandfather;—</t>
  </si>
  <si>
    <t>E-0028</t>
  </si>
  <si>
    <t>She is aunt.</t>
  </si>
  <si>
    <t>my aunt</t>
  </si>
  <si>
    <t>the aunt;a aunt;—</t>
  </si>
  <si>
    <t>E-0029</t>
  </si>
  <si>
    <t>She is uncle.</t>
  </si>
  <si>
    <t>my uncle</t>
  </si>
  <si>
    <t>the uncle;a uncle;—</t>
  </si>
  <si>
    <t>E-0030</t>
  </si>
  <si>
    <t>She is cousin.</t>
  </si>
  <si>
    <t>my cousin</t>
  </si>
  <si>
    <t>the cousin;a cousin;—</t>
  </si>
  <si>
    <t>E-0031</t>
  </si>
  <si>
    <t>This is my parents.</t>
  </si>
  <si>
    <t>This is</t>
  </si>
  <si>
    <t>These are</t>
  </si>
  <si>
    <t>E-0032</t>
  </si>
  <si>
    <t>I have an family.</t>
  </si>
  <si>
    <t>E-0033</t>
  </si>
  <si>
    <t>I have an son.</t>
  </si>
  <si>
    <t>E-0034</t>
  </si>
  <si>
    <t>I have an daughter.</t>
  </si>
  <si>
    <t>E-0035</t>
  </si>
  <si>
    <t>I have an relative.</t>
  </si>
  <si>
    <t>E-0036</t>
  </si>
  <si>
    <t>I have an grandchild.</t>
  </si>
  <si>
    <t>E-0037</t>
  </si>
  <si>
    <t>I have an sibling.</t>
  </si>
  <si>
    <t>E-0038</t>
  </si>
  <si>
    <t>I have an generation.</t>
  </si>
  <si>
    <t>E-0039</t>
  </si>
  <si>
    <t>I have an spouse.</t>
  </si>
  <si>
    <t>E-0040</t>
  </si>
  <si>
    <t>I have a ancestor.</t>
  </si>
  <si>
    <t>E-0041</t>
  </si>
  <si>
    <t>There are book.</t>
  </si>
  <si>
    <t>a book</t>
  </si>
  <si>
    <t>the book;some book;—</t>
  </si>
  <si>
    <t>E-0042</t>
  </si>
  <si>
    <t>There are pencil.</t>
  </si>
  <si>
    <t>a pencil</t>
  </si>
  <si>
    <t>the pencil;some pencil;—</t>
  </si>
  <si>
    <t>E-0043</t>
  </si>
  <si>
    <t>There are desk.</t>
  </si>
  <si>
    <t>a desk</t>
  </si>
  <si>
    <t>the desk;some desk;—</t>
  </si>
  <si>
    <t>E-0044</t>
  </si>
  <si>
    <t>There are chair.</t>
  </si>
  <si>
    <t>a chair</t>
  </si>
  <si>
    <t>the chair;some chair;—</t>
  </si>
  <si>
    <t>E-0045</t>
  </si>
  <si>
    <t>I have an teacher.</t>
  </si>
  <si>
    <t>E-0046</t>
  </si>
  <si>
    <t>I have an classroom.</t>
  </si>
  <si>
    <t>E-0047</t>
  </si>
  <si>
    <t>I have an student.</t>
  </si>
  <si>
    <t>E-0048</t>
  </si>
  <si>
    <t>There are notebook.</t>
  </si>
  <si>
    <t>a notebook</t>
  </si>
  <si>
    <t>the notebook;some notebook;—</t>
  </si>
  <si>
    <t>E-0049</t>
  </si>
  <si>
    <t>There are eraser.</t>
  </si>
  <si>
    <t>an eraser</t>
  </si>
  <si>
    <t>the eraser;some eraser;—</t>
  </si>
  <si>
    <t>E-0050</t>
  </si>
  <si>
    <t>There are bag.</t>
  </si>
  <si>
    <t>a bag</t>
  </si>
  <si>
    <t>the bag;some bag;—</t>
  </si>
  <si>
    <t>E-0051</t>
  </si>
  <si>
    <t>She her homework finishes every day.</t>
  </si>
  <si>
    <t>her homework finishes</t>
  </si>
  <si>
    <t>finishes her homework</t>
  </si>
  <si>
    <t>E-0052</t>
  </si>
  <si>
    <t>She a test has every day.</t>
  </si>
  <si>
    <t>a test has</t>
  </si>
  <si>
    <t>has a test</t>
  </si>
  <si>
    <t>E-0053</t>
  </si>
  <si>
    <t>I have an subject.</t>
  </si>
  <si>
    <t>E-0054</t>
  </si>
  <si>
    <t>She a lesson learns every day.</t>
  </si>
  <si>
    <t>a lesson learns</t>
  </si>
  <si>
    <t>learns a lesson</t>
  </si>
  <si>
    <t>E-0055</t>
  </si>
  <si>
    <t>I have an library.</t>
  </si>
  <si>
    <t>E-0056</t>
  </si>
  <si>
    <t>I have an principal.</t>
  </si>
  <si>
    <t>E-0057</t>
  </si>
  <si>
    <t>I have a education.</t>
  </si>
  <si>
    <t>E-0058</t>
  </si>
  <si>
    <t>I have an schedule.</t>
  </si>
  <si>
    <t>E-0059</t>
  </si>
  <si>
    <t>I have an grade.</t>
  </si>
  <si>
    <t>E-0060</t>
  </si>
  <si>
    <t>I have an classmate.</t>
  </si>
  <si>
    <t>E-0061</t>
  </si>
  <si>
    <t>The dog can runs fast.</t>
  </si>
  <si>
    <t>runs fast</t>
  </si>
  <si>
    <t>run fast</t>
  </si>
  <si>
    <t>run fasting;runed;to run fast</t>
  </si>
  <si>
    <t>E-0062</t>
  </si>
  <si>
    <t>The cat can climbs trees.</t>
  </si>
  <si>
    <t>climbs trees</t>
  </si>
  <si>
    <t>climb trees</t>
  </si>
  <si>
    <t>climb treesing;climbed;to climb trees</t>
  </si>
  <si>
    <t>E-0063</t>
  </si>
  <si>
    <t>The bird can flies high.</t>
  </si>
  <si>
    <t>flies high</t>
  </si>
  <si>
    <t>fly high</t>
  </si>
  <si>
    <t>fly highing;flyed;to fly high</t>
  </si>
  <si>
    <t>E-0064</t>
  </si>
  <si>
    <t>The fish can swims fast.</t>
  </si>
  <si>
    <t>swims fast</t>
  </si>
  <si>
    <t>swim fast</t>
  </si>
  <si>
    <t>swim fasting;swimed;to swim fast</t>
  </si>
  <si>
    <t>E-0065</t>
  </si>
  <si>
    <t>The rabbit can jumps high.</t>
  </si>
  <si>
    <t>jumps high</t>
  </si>
  <si>
    <t>jump high</t>
  </si>
  <si>
    <t>jump highing;jumped;to jump high</t>
  </si>
  <si>
    <t>E-0066</t>
  </si>
  <si>
    <t>The lion can runs fast.</t>
  </si>
  <si>
    <t>E-0067</t>
  </si>
  <si>
    <t>The elephant can swims well.</t>
  </si>
  <si>
    <t>swims well</t>
  </si>
  <si>
    <t>swim well</t>
  </si>
  <si>
    <t>swim welling;swimed;to swim well</t>
  </si>
  <si>
    <t>E-0068</t>
  </si>
  <si>
    <t>The monkey can climbs trees.</t>
  </si>
  <si>
    <t>E-0069</t>
  </si>
  <si>
    <t>The tiger can runs fast.</t>
  </si>
  <si>
    <t>E-0070</t>
  </si>
  <si>
    <t>The bear can climbs trees.</t>
  </si>
  <si>
    <t>E-0071</t>
  </si>
  <si>
    <t>This wildlife are amazing.</t>
  </si>
  <si>
    <t>This</t>
  </si>
  <si>
    <t>These</t>
  </si>
  <si>
    <t>That;It;—</t>
  </si>
  <si>
    <t>E-0072</t>
  </si>
  <si>
    <t>This insects are amazing.</t>
  </si>
  <si>
    <t>E-0073</t>
  </si>
  <si>
    <t>This reptiles are amazing.</t>
  </si>
  <si>
    <t>E-0074</t>
  </si>
  <si>
    <t>This mammals are amazing.</t>
  </si>
  <si>
    <t>E-0075</t>
  </si>
  <si>
    <t>This creatures are amazing.</t>
  </si>
  <si>
    <t>E-0076</t>
  </si>
  <si>
    <t>This animal endangered.</t>
  </si>
  <si>
    <t>This animal endangered</t>
  </si>
  <si>
    <t>This animal is endangered</t>
  </si>
  <si>
    <t>E-0077</t>
  </si>
  <si>
    <t>I have an species.</t>
  </si>
  <si>
    <t>E-0078</t>
  </si>
  <si>
    <t>I have an habitat.</t>
  </si>
  <si>
    <t>E-0079</t>
  </si>
  <si>
    <t>I have an predator.</t>
  </si>
  <si>
    <t>E-0080</t>
  </si>
  <si>
    <t>I have a ecosystem.</t>
  </si>
  <si>
    <t>E-0081</t>
  </si>
  <si>
    <t>I have a apple.</t>
  </si>
  <si>
    <t>E-0082</t>
  </si>
  <si>
    <t>I have many milk.</t>
  </si>
  <si>
    <t>many</t>
  </si>
  <si>
    <t>much</t>
  </si>
  <si>
    <t>a lot;few;—</t>
  </si>
  <si>
    <t>E-0083</t>
  </si>
  <si>
    <t>I have many bread.</t>
  </si>
  <si>
    <t>E-0084</t>
  </si>
  <si>
    <t>E-0085</t>
  </si>
  <si>
    <t>I have a egg.</t>
  </si>
  <si>
    <t>E-0086</t>
  </si>
  <si>
    <t>to a</t>
  </si>
  <si>
    <t>E-0087</t>
  </si>
  <si>
    <t>I want to a banana.</t>
  </si>
  <si>
    <t>E-0088</t>
  </si>
  <si>
    <t>I want to a cheese.</t>
  </si>
  <si>
    <t>E-0089</t>
  </si>
  <si>
    <t>I want to a soup.</t>
  </si>
  <si>
    <t>E-0090</t>
  </si>
  <si>
    <t>I want to a noodle.</t>
  </si>
  <si>
    <t>E-0091</t>
  </si>
  <si>
    <t>I have an vegetable.</t>
  </si>
  <si>
    <t>E-0092</t>
  </si>
  <si>
    <t>I eat many fruit.</t>
  </si>
  <si>
    <t>E-0093</t>
  </si>
  <si>
    <t>I have an dessert.</t>
  </si>
  <si>
    <t>E-0094</t>
  </si>
  <si>
    <t>I have an snack.</t>
  </si>
  <si>
    <t>E-0095</t>
  </si>
  <si>
    <t>I have an meal.</t>
  </si>
  <si>
    <t>E-0096</t>
  </si>
  <si>
    <t>Good nutrition are important.</t>
  </si>
  <si>
    <t>are</t>
  </si>
  <si>
    <t>is</t>
  </si>
  <si>
    <t>were;be;—</t>
  </si>
  <si>
    <t>E-0097</t>
  </si>
  <si>
    <t>Good ingredient are important.</t>
  </si>
  <si>
    <t>E-0098</t>
  </si>
  <si>
    <t>Good recipe are important.</t>
  </si>
  <si>
    <t>E-0099</t>
  </si>
  <si>
    <t>Good appetite are important.</t>
  </si>
  <si>
    <t>E-0100</t>
  </si>
  <si>
    <t>Good diet are important.</t>
  </si>
  <si>
    <t>E-0101</t>
  </si>
  <si>
    <t>I see apple a red.</t>
  </si>
  <si>
    <t>apple a red</t>
  </si>
  <si>
    <t>a red apple</t>
  </si>
  <si>
    <t>E-0102</t>
  </si>
  <si>
    <t>I see sky a blue.</t>
  </si>
  <si>
    <t>sky a blue</t>
  </si>
  <si>
    <t>a blue sky</t>
  </si>
  <si>
    <t>E-0103</t>
  </si>
  <si>
    <t>I see banana a yellow.</t>
  </si>
  <si>
    <t>banana a yellow</t>
  </si>
  <si>
    <t>a yellow banana</t>
  </si>
  <si>
    <t>E-0104</t>
  </si>
  <si>
    <t>I see leaf a green.</t>
  </si>
  <si>
    <t>leaf a green</t>
  </si>
  <si>
    <t>a green leaf</t>
  </si>
  <si>
    <t>E-0105</t>
  </si>
  <si>
    <t>I see cloud a white.</t>
  </si>
  <si>
    <t>cloud a white</t>
  </si>
  <si>
    <t>a white cloud</t>
  </si>
  <si>
    <t>E-0106</t>
  </si>
  <si>
    <t>I see cat a black.</t>
  </si>
  <si>
    <t>cat a black</t>
  </si>
  <si>
    <t>a black cat</t>
  </si>
  <si>
    <t>E-0107</t>
  </si>
  <si>
    <t>I see dress a pink.</t>
  </si>
  <si>
    <t>dress a pink</t>
  </si>
  <si>
    <t>a pink dress</t>
  </si>
  <si>
    <t>E-0108</t>
  </si>
  <si>
    <t>I see grape a purple.</t>
  </si>
  <si>
    <t>grape a purple</t>
  </si>
  <si>
    <t>a purple grape</t>
  </si>
  <si>
    <t>E-0109</t>
  </si>
  <si>
    <t>I see orange an orange.</t>
  </si>
  <si>
    <t>orange an orange</t>
  </si>
  <si>
    <t>an orange orange</t>
  </si>
  <si>
    <t>E-0110</t>
  </si>
  <si>
    <t>I see bear a brown.</t>
  </si>
  <si>
    <t>bear a brown</t>
  </si>
  <si>
    <t>a brown bear</t>
  </si>
  <si>
    <t>E-0111</t>
  </si>
  <si>
    <t>I have an gray.</t>
  </si>
  <si>
    <t>E-0112</t>
  </si>
  <si>
    <t>I have an gold.</t>
  </si>
  <si>
    <t>E-0113</t>
  </si>
  <si>
    <t>I have an silver.</t>
  </si>
  <si>
    <t>E-0114</t>
  </si>
  <si>
    <t>The garden colorful.</t>
  </si>
  <si>
    <t>garden colorful</t>
  </si>
  <si>
    <t>garden is colorful</t>
  </si>
  <si>
    <t>E-0115</t>
  </si>
  <si>
    <t>The garden bright.</t>
  </si>
  <si>
    <t>garden bright</t>
  </si>
  <si>
    <t>garden is bright</t>
  </si>
  <si>
    <t>E-0116</t>
  </si>
  <si>
    <t>I have an shade.</t>
  </si>
  <si>
    <t>E-0117</t>
  </si>
  <si>
    <t>I have an tone.</t>
  </si>
  <si>
    <t>E-0118</t>
  </si>
  <si>
    <t>Her face pale.</t>
  </si>
  <si>
    <t>face pale</t>
  </si>
  <si>
    <t>face looked pale</t>
  </si>
  <si>
    <t>E-0119</t>
  </si>
  <si>
    <t>The painting vivid.</t>
  </si>
  <si>
    <t>painting vivid</t>
  </si>
  <si>
    <t>painting is vivid</t>
  </si>
  <si>
    <t>E-0120</t>
  </si>
  <si>
    <t>She dye her shirt red.</t>
  </si>
  <si>
    <t>dyes</t>
  </si>
  <si>
    <t>dyeing;dyed;to dye</t>
  </si>
  <si>
    <t>E-0121</t>
  </si>
  <si>
    <t>I have one apples.</t>
  </si>
  <si>
    <t>apples</t>
  </si>
  <si>
    <t>applees;apples';—</t>
  </si>
  <si>
    <t>E-0122</t>
  </si>
  <si>
    <t>I have two book.</t>
  </si>
  <si>
    <t>books</t>
  </si>
  <si>
    <t>bookes;book's;—</t>
  </si>
  <si>
    <t>E-0123</t>
  </si>
  <si>
    <t>I have three pencil.</t>
  </si>
  <si>
    <t>pencils</t>
  </si>
  <si>
    <t>penciles;pencil's;—</t>
  </si>
  <si>
    <t>E-0124</t>
  </si>
  <si>
    <t>I have four ball.</t>
  </si>
  <si>
    <t>balls</t>
  </si>
  <si>
    <t>balles;ball's;—</t>
  </si>
  <si>
    <t>E-0125</t>
  </si>
  <si>
    <t>I have five cookie.</t>
  </si>
  <si>
    <t>cookie</t>
  </si>
  <si>
    <t>cookies</t>
  </si>
  <si>
    <t>cookiees;cookie's;—</t>
  </si>
  <si>
    <t>E-0126</t>
  </si>
  <si>
    <t>I have six star.</t>
  </si>
  <si>
    <t>star</t>
  </si>
  <si>
    <t>stars</t>
  </si>
  <si>
    <t>stares;star's;—</t>
  </si>
  <si>
    <t>E-0127</t>
  </si>
  <si>
    <t>I have seven flower.</t>
  </si>
  <si>
    <t>flowers</t>
  </si>
  <si>
    <t>floweres;flower's;—</t>
  </si>
  <si>
    <t>E-0128</t>
  </si>
  <si>
    <t>I have eight toy.</t>
  </si>
  <si>
    <t>toy</t>
  </si>
  <si>
    <t>toys</t>
  </si>
  <si>
    <t>toyes;toy's;—</t>
  </si>
  <si>
    <t>E-0129</t>
  </si>
  <si>
    <t>I have nine cup.</t>
  </si>
  <si>
    <t>cup</t>
  </si>
  <si>
    <t>cups</t>
  </si>
  <si>
    <t>cupes;cup's;—</t>
  </si>
  <si>
    <t>E-0130</t>
  </si>
  <si>
    <t>I have ten balloon.</t>
  </si>
  <si>
    <t>balloon</t>
  </si>
  <si>
    <t>balloons</t>
  </si>
  <si>
    <t>balloones;balloon's;—</t>
  </si>
  <si>
    <t>E-0131</t>
  </si>
  <si>
    <t>There are a hundred student.</t>
  </si>
  <si>
    <t>students</t>
  </si>
  <si>
    <t>studentes;student's;—</t>
  </si>
  <si>
    <t>E-0132</t>
  </si>
  <si>
    <t>There are a thousand student.</t>
  </si>
  <si>
    <t>E-0133</t>
  </si>
  <si>
    <t>I bought a dozen egg.</t>
  </si>
  <si>
    <t>eggs</t>
  </si>
  <si>
    <t>egges;egg's;—</t>
  </si>
  <si>
    <t>E-0134</t>
  </si>
  <si>
    <t>the first</t>
  </si>
  <si>
    <t>a first;—;—</t>
  </si>
  <si>
    <t>E-0135</t>
  </si>
  <si>
    <t>She was second to finish.</t>
  </si>
  <si>
    <t>the second</t>
  </si>
  <si>
    <t>a second;—;—</t>
  </si>
  <si>
    <t>E-0136</t>
  </si>
  <si>
    <t>I have an million.</t>
  </si>
  <si>
    <t>E-0137</t>
  </si>
  <si>
    <t>I have an quarter.</t>
  </si>
  <si>
    <t>E-0138</t>
  </si>
  <si>
    <t>Give me halves of the apple.</t>
  </si>
  <si>
    <t>halves</t>
  </si>
  <si>
    <t>half's;the half;—</t>
  </si>
  <si>
    <t>E-0139</t>
  </si>
  <si>
    <t>I have an double.</t>
  </si>
  <si>
    <t>E-0140</t>
  </si>
  <si>
    <t>I have an triple.</t>
  </si>
  <si>
    <t>E-0141</t>
  </si>
  <si>
    <t>It</t>
  </si>
  <si>
    <t>That;He;—</t>
  </si>
  <si>
    <t>E-0142</t>
  </si>
  <si>
    <t>This is rainy today.</t>
  </si>
  <si>
    <t>E-0143</t>
  </si>
  <si>
    <t>This is cloudy today.</t>
  </si>
  <si>
    <t>E-0144</t>
  </si>
  <si>
    <t>This is hot today.</t>
  </si>
  <si>
    <t>E-0145</t>
  </si>
  <si>
    <t>This is cold today.</t>
  </si>
  <si>
    <t>E-0146</t>
  </si>
  <si>
    <t>This is windy today.</t>
  </si>
  <si>
    <t>E-0147</t>
  </si>
  <si>
    <t>This is snowy today.</t>
  </si>
  <si>
    <t>E-0148</t>
  </si>
  <si>
    <t>This is warm today.</t>
  </si>
  <si>
    <t>E-0149</t>
  </si>
  <si>
    <t>This is cool today.</t>
  </si>
  <si>
    <t>E-0150</t>
  </si>
  <si>
    <t>How is a weather today?</t>
  </si>
  <si>
    <t>a weather</t>
  </si>
  <si>
    <t>the weather</t>
  </si>
  <si>
    <t>weather;weathers;—</t>
  </si>
  <si>
    <t>E-0151</t>
  </si>
  <si>
    <t>The temperature drop last night.</t>
  </si>
  <si>
    <t>drop</t>
  </si>
  <si>
    <t>dropped</t>
  </si>
  <si>
    <t>drops;dropping;—</t>
  </si>
  <si>
    <t>E-0152</t>
  </si>
  <si>
    <t>The forecast says it will rains.</t>
  </si>
  <si>
    <t>rains</t>
  </si>
  <si>
    <t>rain</t>
  </si>
  <si>
    <t>raining;rained;—</t>
  </si>
  <si>
    <t>E-0153</t>
  </si>
  <si>
    <t>I have an storm.</t>
  </si>
  <si>
    <t>E-0154</t>
  </si>
  <si>
    <t>It humid in summer.</t>
  </si>
  <si>
    <t>It humid</t>
  </si>
  <si>
    <t>It is humid</t>
  </si>
  <si>
    <t>E-0155</t>
  </si>
  <si>
    <t>The morning foggy.</t>
  </si>
  <si>
    <t>morning foggy</t>
  </si>
  <si>
    <t>morning was foggy</t>
  </si>
  <si>
    <t>E-0156</t>
  </si>
  <si>
    <t>I have an climate.</t>
  </si>
  <si>
    <t>E-0157</t>
  </si>
  <si>
    <t>I have an drought.</t>
  </si>
  <si>
    <t>E-0158</t>
  </si>
  <si>
    <t>We heard many thunder last night.</t>
  </si>
  <si>
    <t>E-0159</t>
  </si>
  <si>
    <t>We heard many lightning last night.</t>
  </si>
  <si>
    <t>E-0160</t>
  </si>
  <si>
    <t>A hurricane will hits the coast.</t>
  </si>
  <si>
    <t>hits</t>
  </si>
  <si>
    <t>hit</t>
  </si>
  <si>
    <t>hitting;hitted;—</t>
  </si>
  <si>
    <t>E-0161</t>
  </si>
  <si>
    <t>on</t>
  </si>
  <si>
    <t>in</t>
  </si>
  <si>
    <t>at;for;—</t>
  </si>
  <si>
    <t>E-0162</t>
  </si>
  <si>
    <t>We enjoy summer activities on summer.</t>
  </si>
  <si>
    <t>E-0163</t>
  </si>
  <si>
    <t>We enjoy fall activities on fall.</t>
  </si>
  <si>
    <t>E-0164</t>
  </si>
  <si>
    <t>We enjoy winter activities on winter.</t>
  </si>
  <si>
    <t>E-0165</t>
  </si>
  <si>
    <t>I have an season.</t>
  </si>
  <si>
    <t>E-0166</t>
  </si>
  <si>
    <t>I have an leaf.</t>
  </si>
  <si>
    <t>E-0167</t>
  </si>
  <si>
    <t>I have an flower.</t>
  </si>
  <si>
    <t>E-0168</t>
  </si>
  <si>
    <t>I have an snowman.</t>
  </si>
  <si>
    <t>E-0169</t>
  </si>
  <si>
    <t>I have an vacation.</t>
  </si>
  <si>
    <t>E-0170</t>
  </si>
  <si>
    <t>I have an holiday.</t>
  </si>
  <si>
    <t>E-0171</t>
  </si>
  <si>
    <t>A farmer harvest rice in fall.</t>
  </si>
  <si>
    <t>harvests</t>
  </si>
  <si>
    <t>harvesting;harvested;to harvest</t>
  </si>
  <si>
    <t>E-0172</t>
  </si>
  <si>
    <t>The cherry tree blossom in April.</t>
  </si>
  <si>
    <t>blossoms</t>
  </si>
  <si>
    <t>blossoming;blossomed;to blossom</t>
  </si>
  <si>
    <t>E-0173</t>
  </si>
  <si>
    <t>The bird migrate south in winter.</t>
  </si>
  <si>
    <t>migrates</t>
  </si>
  <si>
    <t>migrating;migrated;to migrate</t>
  </si>
  <si>
    <t>E-0174</t>
  </si>
  <si>
    <t>The bear hibernate in winter.</t>
  </si>
  <si>
    <t>hibernates</t>
  </si>
  <si>
    <t>hibernating;hibernated;to hibernate</t>
  </si>
  <si>
    <t>E-0175</t>
  </si>
  <si>
    <t>Strawberries seasonal.</t>
  </si>
  <si>
    <t>Strawberries seasonal</t>
  </si>
  <si>
    <t>Strawberries are seasonal</t>
  </si>
  <si>
    <t>E-0176</t>
  </si>
  <si>
    <t>I have a equinox.</t>
  </si>
  <si>
    <t>E-0177</t>
  </si>
  <si>
    <t>I have an solstice.</t>
  </si>
  <si>
    <t>E-0178</t>
  </si>
  <si>
    <t>This trip annual.</t>
  </si>
  <si>
    <t>trip annual</t>
  </si>
  <si>
    <t>trip is annual</t>
  </si>
  <si>
    <t>E-0179</t>
  </si>
  <si>
    <t>Korea's climate temperate.</t>
  </si>
  <si>
    <t>climate temperate</t>
  </si>
  <si>
    <t>climate is temperate</t>
  </si>
  <si>
    <t>E-0180</t>
  </si>
  <si>
    <t>I have an transition.</t>
  </si>
  <si>
    <t>E-0181</t>
  </si>
  <si>
    <t>She wear a white shirt now.</t>
  </si>
  <si>
    <t>wear</t>
  </si>
  <si>
    <t>is wearing</t>
  </si>
  <si>
    <t>wears;wore;—</t>
  </si>
  <si>
    <t>E-0182</t>
  </si>
  <si>
    <t>These pants is too long.</t>
  </si>
  <si>
    <t>am;be;—</t>
  </si>
  <si>
    <t>E-0183</t>
  </si>
  <si>
    <t>My shoes is new.</t>
  </si>
  <si>
    <t>E-0184</t>
  </si>
  <si>
    <t>He wears an blue hat.</t>
  </si>
  <si>
    <t>E-0185</t>
  </si>
  <si>
    <t>My socks is warm.</t>
  </si>
  <si>
    <t>E-0186</t>
  </si>
  <si>
    <t>He wear a jacket now.</t>
  </si>
  <si>
    <t>E-0187</t>
  </si>
  <si>
    <t>She wear a red skirt now.</t>
  </si>
  <si>
    <t>E-0188</t>
  </si>
  <si>
    <t>She wear a pretty dress now.</t>
  </si>
  <si>
    <t>E-0189</t>
  </si>
  <si>
    <t>He wear a heavy coat now.</t>
  </si>
  <si>
    <t>E-0190</t>
  </si>
  <si>
    <t>Wear an glove, it's cold.</t>
  </si>
  <si>
    <t>E-0191</t>
  </si>
  <si>
    <t>I have an uniform.</t>
  </si>
  <si>
    <t>E-0192</t>
  </si>
  <si>
    <t>I have an scarf.</t>
  </si>
  <si>
    <t>E-0193</t>
  </si>
  <si>
    <t>I have an button.</t>
  </si>
  <si>
    <t>E-0194</t>
  </si>
  <si>
    <t>I have an zipper.</t>
  </si>
  <si>
    <t>E-0195</t>
  </si>
  <si>
    <t>I have an fabric.</t>
  </si>
  <si>
    <t>E-0196</t>
  </si>
  <si>
    <t>I have an fashion.</t>
  </si>
  <si>
    <t>E-0197</t>
  </si>
  <si>
    <t>I have an style.</t>
  </si>
  <si>
    <t>E-0198</t>
  </si>
  <si>
    <t>I have a accessory.</t>
  </si>
  <si>
    <t>E-0199</t>
  </si>
  <si>
    <t>I have an wardrobe.</t>
  </si>
  <si>
    <t>E-0200</t>
  </si>
  <si>
    <t>I have an textile.</t>
  </si>
  <si>
    <t>E-0201</t>
  </si>
  <si>
    <t>Head hurts.</t>
  </si>
  <si>
    <t>Head</t>
  </si>
  <si>
    <t>My head</t>
  </si>
  <si>
    <t>Your head;The head;—</t>
  </si>
  <si>
    <t>E-0202</t>
  </si>
  <si>
    <t>Hand is cold.</t>
  </si>
  <si>
    <t>Hand</t>
  </si>
  <si>
    <t>My hand</t>
  </si>
  <si>
    <t>Your hand;The hand;—</t>
  </si>
  <si>
    <t>E-0203</t>
  </si>
  <si>
    <t>Foot is cold.</t>
  </si>
  <si>
    <t>Foot</t>
  </si>
  <si>
    <t>My foot</t>
  </si>
  <si>
    <t>Your foot;The foot;—</t>
  </si>
  <si>
    <t>E-0204</t>
  </si>
  <si>
    <t>Eye hurts.</t>
  </si>
  <si>
    <t>Eye</t>
  </si>
  <si>
    <t>My eye</t>
  </si>
  <si>
    <t>Your eye;The eye;—</t>
  </si>
  <si>
    <t>E-0205</t>
  </si>
  <si>
    <t>Ear hurts.</t>
  </si>
  <si>
    <t>Ear</t>
  </si>
  <si>
    <t>My ear</t>
  </si>
  <si>
    <t>Your ear;The ear;—</t>
  </si>
  <si>
    <t>E-0206</t>
  </si>
  <si>
    <t>Arm hurts.</t>
  </si>
  <si>
    <t>Arm</t>
  </si>
  <si>
    <t>My arm</t>
  </si>
  <si>
    <t>Your arm;The arm;—</t>
  </si>
  <si>
    <t>E-0207</t>
  </si>
  <si>
    <t>Leg is tired.</t>
  </si>
  <si>
    <t>Leg</t>
  </si>
  <si>
    <t>My leg</t>
  </si>
  <si>
    <t>Your leg;The leg;—</t>
  </si>
  <si>
    <t>E-0208</t>
  </si>
  <si>
    <t>Finger hurts.</t>
  </si>
  <si>
    <t>Finger</t>
  </si>
  <si>
    <t>My finger</t>
  </si>
  <si>
    <t>Your finger;The finger;—</t>
  </si>
  <si>
    <t>E-0209</t>
  </si>
  <si>
    <t>Nose is red.</t>
  </si>
  <si>
    <t>Nose</t>
  </si>
  <si>
    <t>My nose</t>
  </si>
  <si>
    <t>Your nose;The nose;—</t>
  </si>
  <si>
    <t>E-0210</t>
  </si>
  <si>
    <t>Mouth is dry.</t>
  </si>
  <si>
    <t>Mouth</t>
  </si>
  <si>
    <t>My mouth</t>
  </si>
  <si>
    <t>Your mouth;The mouth;—</t>
  </si>
  <si>
    <t>E-0211</t>
  </si>
  <si>
    <t>Shoulder hurts.</t>
  </si>
  <si>
    <t>Shoulder</t>
  </si>
  <si>
    <t>My shoulder</t>
  </si>
  <si>
    <t>Your shoulder;The shoulder;—</t>
  </si>
  <si>
    <t>E-0212</t>
  </si>
  <si>
    <t>Elbow hurts.</t>
  </si>
  <si>
    <t>Elbow</t>
  </si>
  <si>
    <t>My elbow</t>
  </si>
  <si>
    <t>Your elbow;The elbow;—</t>
  </si>
  <si>
    <t>E-0213</t>
  </si>
  <si>
    <t>Knee hurts.</t>
  </si>
  <si>
    <t>Knee</t>
  </si>
  <si>
    <t>My knee</t>
  </si>
  <si>
    <t>Your knee;The knee;—</t>
  </si>
  <si>
    <t>E-0214</t>
  </si>
  <si>
    <t>Stomach hurts.</t>
  </si>
  <si>
    <t>Stomach</t>
  </si>
  <si>
    <t>My stomach</t>
  </si>
  <si>
    <t>Your stomach;The stomach;—</t>
  </si>
  <si>
    <t>E-0215</t>
  </si>
  <si>
    <t>Chest hurts.</t>
  </si>
  <si>
    <t>Chest</t>
  </si>
  <si>
    <t>My chest</t>
  </si>
  <si>
    <t>Your chest;The chest;—</t>
  </si>
  <si>
    <t>E-0216</t>
  </si>
  <si>
    <t>I have an skeleton.</t>
  </si>
  <si>
    <t>E-0217</t>
  </si>
  <si>
    <t>I have an muscle.</t>
  </si>
  <si>
    <t>E-0218</t>
  </si>
  <si>
    <t>I have a organ.</t>
  </si>
  <si>
    <t>E-0219</t>
  </si>
  <si>
    <t>I have an brain.</t>
  </si>
  <si>
    <t>E-0220</t>
  </si>
  <si>
    <t>I have an nerve.</t>
  </si>
  <si>
    <t>E-0221</t>
  </si>
  <si>
    <t>I like run.</t>
  </si>
  <si>
    <t>running</t>
  </si>
  <si>
    <t>runs;to run;—</t>
  </si>
  <si>
    <t>E-0222</t>
  </si>
  <si>
    <t>I like jump.</t>
  </si>
  <si>
    <t>jumping</t>
  </si>
  <si>
    <t>jumps;to jump;—</t>
  </si>
  <si>
    <t>E-0223</t>
  </si>
  <si>
    <t>swimming</t>
  </si>
  <si>
    <t>swims;to swim;—</t>
  </si>
  <si>
    <t>E-0224</t>
  </si>
  <si>
    <t>I have an ball.</t>
  </si>
  <si>
    <t>E-0225</t>
  </si>
  <si>
    <t>I like play soccer.</t>
  </si>
  <si>
    <t>playing</t>
  </si>
  <si>
    <t>plays;to play;—</t>
  </si>
  <si>
    <t>E-0226</t>
  </si>
  <si>
    <t>He likes playing.</t>
  </si>
  <si>
    <t>playing baseball</t>
  </si>
  <si>
    <t>playings;to playing;—</t>
  </si>
  <si>
    <t>E-0227</t>
  </si>
  <si>
    <t>playing basketball</t>
  </si>
  <si>
    <t>E-0228</t>
  </si>
  <si>
    <t>playing badminton</t>
  </si>
  <si>
    <t>E-0229</t>
  </si>
  <si>
    <t>I have an race.</t>
  </si>
  <si>
    <t>E-0230</t>
  </si>
  <si>
    <t>I have an team.</t>
  </si>
  <si>
    <t>E-0231</t>
  </si>
  <si>
    <t>I have a athlete.</t>
  </si>
  <si>
    <t>E-0232</t>
  </si>
  <si>
    <t>I have an coach.</t>
  </si>
  <si>
    <t>E-0233</t>
  </si>
  <si>
    <t>She exercise every morning.</t>
  </si>
  <si>
    <t>exercises</t>
  </si>
  <si>
    <t>exercising;exercised;to exercise</t>
  </si>
  <si>
    <t>E-0234</t>
  </si>
  <si>
    <t>I have an stadium.</t>
  </si>
  <si>
    <t>E-0235</t>
  </si>
  <si>
    <t>I have an referee.</t>
  </si>
  <si>
    <t>E-0236</t>
  </si>
  <si>
    <t>I have an champion.</t>
  </si>
  <si>
    <t>E-0237</t>
  </si>
  <si>
    <t>I have an tournament.</t>
  </si>
  <si>
    <t>E-0238</t>
  </si>
  <si>
    <t>Running builds many endurance.</t>
  </si>
  <si>
    <t>E-0239</t>
  </si>
  <si>
    <t>I have an strategy.</t>
  </si>
  <si>
    <t>E-0240</t>
  </si>
  <si>
    <t>I have an competition.</t>
  </si>
  <si>
    <t>E-0241</t>
  </si>
  <si>
    <t>drawing</t>
  </si>
  <si>
    <t>draws;to draw;—</t>
  </si>
  <si>
    <t>E-0242</t>
  </si>
  <si>
    <t>I enjoy sing.</t>
  </si>
  <si>
    <t>singing</t>
  </si>
  <si>
    <t>sings;to sing;—</t>
  </si>
  <si>
    <t>E-0243</t>
  </si>
  <si>
    <t>I enjoy dance.</t>
  </si>
  <si>
    <t>dancing</t>
  </si>
  <si>
    <t>dances;to dance;—</t>
  </si>
  <si>
    <t>E-0244</t>
  </si>
  <si>
    <t>I enjoy read.</t>
  </si>
  <si>
    <t>reading</t>
  </si>
  <si>
    <t>reads;to read;—</t>
  </si>
  <si>
    <t>E-0245</t>
  </si>
  <si>
    <t>I enjoy play.</t>
  </si>
  <si>
    <t>E-0246</t>
  </si>
  <si>
    <t>He enjoys paint.</t>
  </si>
  <si>
    <t>painting</t>
  </si>
  <si>
    <t>paints;to paint;—</t>
  </si>
  <si>
    <t>E-0247</t>
  </si>
  <si>
    <t>He enjoys collect stamps.</t>
  </si>
  <si>
    <t>collecting stamps</t>
  </si>
  <si>
    <t>collects;to collect;—</t>
  </si>
  <si>
    <t>E-0248</t>
  </si>
  <si>
    <t>I have an camera.</t>
  </si>
  <si>
    <t>E-0249</t>
  </si>
  <si>
    <t>I have an puzzle.</t>
  </si>
  <si>
    <t>E-0250</t>
  </si>
  <si>
    <t>He enjoys garden.</t>
  </si>
  <si>
    <t>gardening</t>
  </si>
  <si>
    <t>gardens;to garden;—</t>
  </si>
  <si>
    <t>E-0251</t>
  </si>
  <si>
    <t>I have an hobby.</t>
  </si>
  <si>
    <t>E-0252</t>
  </si>
  <si>
    <t>I have a instrument.</t>
  </si>
  <si>
    <t>E-0253</t>
  </si>
  <si>
    <t>She does many photography.</t>
  </si>
  <si>
    <t>E-0254</t>
  </si>
  <si>
    <t>I have an craft.</t>
  </si>
  <si>
    <t>E-0255</t>
  </si>
  <si>
    <t>I have an collection.</t>
  </si>
  <si>
    <t>E-0256</t>
  </si>
  <si>
    <t>Art class needs many creativity.</t>
  </si>
  <si>
    <t>E-0257</t>
  </si>
  <si>
    <t>He has many leisure time.</t>
  </si>
  <si>
    <t>E-0258</t>
  </si>
  <si>
    <t>I have an talent.</t>
  </si>
  <si>
    <t>E-0259</t>
  </si>
  <si>
    <t>I have an skill.</t>
  </si>
  <si>
    <t>E-0260</t>
  </si>
  <si>
    <t>I have an passion.</t>
  </si>
  <si>
    <t>E-0261</t>
  </si>
  <si>
    <t>in monday</t>
  </si>
  <si>
    <t>on Monday</t>
  </si>
  <si>
    <t>at monday;monday;—</t>
  </si>
  <si>
    <t>E-0262</t>
  </si>
  <si>
    <t>I have a test in tuesday.</t>
  </si>
  <si>
    <t>in tuesday</t>
  </si>
  <si>
    <t>on Tuesday</t>
  </si>
  <si>
    <t>at tuesday;tuesday;—</t>
  </si>
  <si>
    <t>E-0263</t>
  </si>
  <si>
    <t>Today is an sunny day.</t>
  </si>
  <si>
    <t>E-0264</t>
  </si>
  <si>
    <t>We will has a trip tomorrow.</t>
  </si>
  <si>
    <t>has</t>
  </si>
  <si>
    <t>have</t>
  </si>
  <si>
    <t>having;haves;—</t>
  </si>
  <si>
    <t>E-0265</t>
  </si>
  <si>
    <t>It is rainy yesterday.</t>
  </si>
  <si>
    <t>was</t>
  </si>
  <si>
    <t>E-0266</t>
  </si>
  <si>
    <t>I have a test in wednesday.</t>
  </si>
  <si>
    <t>in wednesday</t>
  </si>
  <si>
    <t>on Wednesday</t>
  </si>
  <si>
    <t>at wednesday;wednesday;—</t>
  </si>
  <si>
    <t>E-0267</t>
  </si>
  <si>
    <t>I have a test in thursday.</t>
  </si>
  <si>
    <t>in thursday</t>
  </si>
  <si>
    <t>on Thursday</t>
  </si>
  <si>
    <t>at thursday;thursday;—</t>
  </si>
  <si>
    <t>E-0268</t>
  </si>
  <si>
    <t>I have a test in friday.</t>
  </si>
  <si>
    <t>in friday</t>
  </si>
  <si>
    <t>on Friday</t>
  </si>
  <si>
    <t>at friday;friday;—</t>
  </si>
  <si>
    <t>E-0269</t>
  </si>
  <si>
    <t>We have five class this week.</t>
  </si>
  <si>
    <t>class</t>
  </si>
  <si>
    <t>classes</t>
  </si>
  <si>
    <t>classing;classed;—</t>
  </si>
  <si>
    <t>E-0270</t>
  </si>
  <si>
    <t>I visit usually my grandparents on the weekend.</t>
  </si>
  <si>
    <t>visit usually</t>
  </si>
  <si>
    <t>usually visit</t>
  </si>
  <si>
    <t>E-0271</t>
  </si>
  <si>
    <t>I have a test in saturday.</t>
  </si>
  <si>
    <t>in saturday</t>
  </si>
  <si>
    <t>on Saturday</t>
  </si>
  <si>
    <t>at saturday;saturday;—</t>
  </si>
  <si>
    <t>E-0272</t>
  </si>
  <si>
    <t>I have a test in sunday.</t>
  </si>
  <si>
    <t>in sunday</t>
  </si>
  <si>
    <t>on Sunday</t>
  </si>
  <si>
    <t>at sunday;sunday;—</t>
  </si>
  <si>
    <t>E-0273</t>
  </si>
  <si>
    <t>I have an month.</t>
  </si>
  <si>
    <t>E-0274</t>
  </si>
  <si>
    <t>I have an calendar.</t>
  </si>
  <si>
    <t>E-0275</t>
  </si>
  <si>
    <t>I have an planner.</t>
  </si>
  <si>
    <t>E-0276</t>
  </si>
  <si>
    <t>I have an century.</t>
  </si>
  <si>
    <t>E-0277</t>
  </si>
  <si>
    <t>I have an decade.</t>
  </si>
  <si>
    <t>E-0278</t>
  </si>
  <si>
    <t>I have a anniversary.</t>
  </si>
  <si>
    <t>E-0279</t>
  </si>
  <si>
    <t>The homework deadline is Friday always.</t>
  </si>
  <si>
    <t>is Friday always</t>
  </si>
  <si>
    <t>is always Friday</t>
  </si>
  <si>
    <t>E-0280</t>
  </si>
  <si>
    <t>She always punctual.</t>
  </si>
  <si>
    <t>always punctual</t>
  </si>
  <si>
    <t>is always punctual</t>
  </si>
  <si>
    <t>E-0281</t>
  </si>
  <si>
    <t>We go to school by a car.</t>
  </si>
  <si>
    <t>a car</t>
  </si>
  <si>
    <t>an car;the car;—</t>
  </si>
  <si>
    <t>E-0282</t>
  </si>
  <si>
    <t>We go to school by a bus.</t>
  </si>
  <si>
    <t>a bus</t>
  </si>
  <si>
    <t>an bus;the bus;—</t>
  </si>
  <si>
    <t>E-0283</t>
  </si>
  <si>
    <t>We go to school by a bike.</t>
  </si>
  <si>
    <t>a bike</t>
  </si>
  <si>
    <t>an bike;the bike;—</t>
  </si>
  <si>
    <t>E-0284</t>
  </si>
  <si>
    <t>We travel by a train.</t>
  </si>
  <si>
    <t>a train</t>
  </si>
  <si>
    <t>an train;the train;—</t>
  </si>
  <si>
    <t>E-0285</t>
  </si>
  <si>
    <t>We go home by a taxi.</t>
  </si>
  <si>
    <t>a taxi</t>
  </si>
  <si>
    <t>an taxi;the taxi;—</t>
  </si>
  <si>
    <t>E-0286</t>
  </si>
  <si>
    <t>We travel by a subway.</t>
  </si>
  <si>
    <t>a subway</t>
  </si>
  <si>
    <t>an subway;the subway;—</t>
  </si>
  <si>
    <t>E-0287</t>
  </si>
  <si>
    <t>We travel by a airplane.</t>
  </si>
  <si>
    <t>a airplane</t>
  </si>
  <si>
    <t>an airplane;the airplane;—</t>
  </si>
  <si>
    <t>E-0288</t>
  </si>
  <si>
    <t>We travel by a ship.</t>
  </si>
  <si>
    <t>a ship</t>
  </si>
  <si>
    <t>an ship;the ship;—</t>
  </si>
  <si>
    <t>E-0289</t>
  </si>
  <si>
    <t>We carry boxes by a truck.</t>
  </si>
  <si>
    <t>a truck</t>
  </si>
  <si>
    <t>an truck;the truck;—</t>
  </si>
  <si>
    <t>E-0290</t>
  </si>
  <si>
    <t>We go to work by a motorcycle.</t>
  </si>
  <si>
    <t>a motorcycle</t>
  </si>
  <si>
    <t>an motorcycle;the motorcycle;—</t>
  </si>
  <si>
    <t>E-0291</t>
  </si>
  <si>
    <t>There is many traffic today.</t>
  </si>
  <si>
    <t>E-0292</t>
  </si>
  <si>
    <t>I have an passenger.</t>
  </si>
  <si>
    <t>E-0293</t>
  </si>
  <si>
    <t>I have an station.</t>
  </si>
  <si>
    <t>E-0294</t>
  </si>
  <si>
    <t>I have an ticket.</t>
  </si>
  <si>
    <t>E-0295</t>
  </si>
  <si>
    <t>I have an highway.</t>
  </si>
  <si>
    <t>E-0296</t>
  </si>
  <si>
    <t>I have an vehicle.</t>
  </si>
  <si>
    <t>E-0297</t>
  </si>
  <si>
    <t>Public transportation needs many support.</t>
  </si>
  <si>
    <t>E-0298</t>
  </si>
  <si>
    <t>I have an license.</t>
  </si>
  <si>
    <t>E-0299</t>
  </si>
  <si>
    <t>I have an pedestrian.</t>
  </si>
  <si>
    <t>E-0300</t>
  </si>
  <si>
    <t>She commute to work by subway.</t>
  </si>
  <si>
    <t>commutes</t>
  </si>
  <si>
    <t>commuting;commuted;to commute</t>
  </si>
  <si>
    <t>E-0301</t>
  </si>
  <si>
    <t>I feel happy at a home.</t>
  </si>
  <si>
    <t>at a home</t>
  </si>
  <si>
    <t>at home</t>
  </si>
  <si>
    <t>in home;the home;—</t>
  </si>
  <si>
    <t>E-0302</t>
  </si>
  <si>
    <t>the park</t>
  </si>
  <si>
    <t>a park;an park;—</t>
  </si>
  <si>
    <t>E-0303</t>
  </si>
  <si>
    <t>We go to store every day.</t>
  </si>
  <si>
    <t>the store</t>
  </si>
  <si>
    <t>a store;an store;—</t>
  </si>
  <si>
    <t>E-0304</t>
  </si>
  <si>
    <t>We go to playground every day.</t>
  </si>
  <si>
    <t>the playground</t>
  </si>
  <si>
    <t>a playground;an playground;—</t>
  </si>
  <si>
    <t>E-0305</t>
  </si>
  <si>
    <t>We go to zoo every day.</t>
  </si>
  <si>
    <t>the zoo</t>
  </si>
  <si>
    <t>a zoo;an zoo;—</t>
  </si>
  <si>
    <t>E-0306</t>
  </si>
  <si>
    <t>We went to hospital.</t>
  </si>
  <si>
    <t>the hospital</t>
  </si>
  <si>
    <t>a hospital;an hospital;—</t>
  </si>
  <si>
    <t>E-0307</t>
  </si>
  <si>
    <t>We went to market.</t>
  </si>
  <si>
    <t>the market</t>
  </si>
  <si>
    <t>a market;an market;—</t>
  </si>
  <si>
    <t>E-0308</t>
  </si>
  <si>
    <t>We went to bakery.</t>
  </si>
  <si>
    <t>the bakery</t>
  </si>
  <si>
    <t>a bakery;an bakery;—</t>
  </si>
  <si>
    <t>E-0309</t>
  </si>
  <si>
    <t>We went to bank.</t>
  </si>
  <si>
    <t>the bank</t>
  </si>
  <si>
    <t>a bank;an bank;—</t>
  </si>
  <si>
    <t>E-0310</t>
  </si>
  <si>
    <t>We went to restaurant.</t>
  </si>
  <si>
    <t>the restaurant</t>
  </si>
  <si>
    <t>a restaurant;an restaurant;—</t>
  </si>
  <si>
    <t>E-0311</t>
  </si>
  <si>
    <t>We went to museum.</t>
  </si>
  <si>
    <t>the museum</t>
  </si>
  <si>
    <t>a museum;an museum;—</t>
  </si>
  <si>
    <t>E-0312</t>
  </si>
  <si>
    <t>We went shopping the downtown.</t>
  </si>
  <si>
    <t>the downtown</t>
  </si>
  <si>
    <t>a downtown;downtowns;—</t>
  </si>
  <si>
    <t>E-0313</t>
  </si>
  <si>
    <t>I have an neighborhood.</t>
  </si>
  <si>
    <t>E-0314</t>
  </si>
  <si>
    <t>We went to church.</t>
  </si>
  <si>
    <t>the church</t>
  </si>
  <si>
    <t>a church;an church;—</t>
  </si>
  <si>
    <t>E-0315</t>
  </si>
  <si>
    <t>We went to theater.</t>
  </si>
  <si>
    <t>the theater</t>
  </si>
  <si>
    <t>a theater;an theater;—</t>
  </si>
  <si>
    <t>E-0316</t>
  </si>
  <si>
    <t>I have an community.</t>
  </si>
  <si>
    <t>E-0317</t>
  </si>
  <si>
    <t>I have an facility.</t>
  </si>
  <si>
    <t>E-0318</t>
  </si>
  <si>
    <t>I have an landmark.</t>
  </si>
  <si>
    <t>E-0319</t>
  </si>
  <si>
    <t>Seoul urban.</t>
  </si>
  <si>
    <t>Seoul urban</t>
  </si>
  <si>
    <t>Seoul is urban</t>
  </si>
  <si>
    <t>E-0320</t>
  </si>
  <si>
    <t>I have an suburb.</t>
  </si>
  <si>
    <t>E-0321</t>
  </si>
  <si>
    <t>My uncle is doctor.</t>
  </si>
  <si>
    <t>a doctor</t>
  </si>
  <si>
    <t>the doctor;an doctor;—</t>
  </si>
  <si>
    <t>E-0322</t>
  </si>
  <si>
    <t>My uncle is nurse.</t>
  </si>
  <si>
    <t>a nurse</t>
  </si>
  <si>
    <t>the nurse;an nurse;—</t>
  </si>
  <si>
    <t>E-0323</t>
  </si>
  <si>
    <t>My uncle is farmer.</t>
  </si>
  <si>
    <t>a farmer</t>
  </si>
  <si>
    <t>the farmer;an farmer;—</t>
  </si>
  <si>
    <t>E-0324</t>
  </si>
  <si>
    <t>My uncle is cook.</t>
  </si>
  <si>
    <t>a cook</t>
  </si>
  <si>
    <t>the cook;an cook;—</t>
  </si>
  <si>
    <t>E-0325</t>
  </si>
  <si>
    <t>My aunt is police officer.</t>
  </si>
  <si>
    <t>a police officer</t>
  </si>
  <si>
    <t>the police officer;an police officer;—</t>
  </si>
  <si>
    <t>E-0326</t>
  </si>
  <si>
    <t>My uncle is firefighter.</t>
  </si>
  <si>
    <t>a firefighter</t>
  </si>
  <si>
    <t>the firefighter;an firefighter;—</t>
  </si>
  <si>
    <t>E-0327</t>
  </si>
  <si>
    <t>My uncle is pilot.</t>
  </si>
  <si>
    <t>a pilot</t>
  </si>
  <si>
    <t>the pilot;an pilot;—</t>
  </si>
  <si>
    <t>E-0328</t>
  </si>
  <si>
    <t>My uncle is singer.</t>
  </si>
  <si>
    <t>a singer</t>
  </si>
  <si>
    <t>the singer;an singer;—</t>
  </si>
  <si>
    <t>E-0329</t>
  </si>
  <si>
    <t>My uncle is dancer.</t>
  </si>
  <si>
    <t>a dancer</t>
  </si>
  <si>
    <t>the dancer;an dancer;—</t>
  </si>
  <si>
    <t>E-0330</t>
  </si>
  <si>
    <t>My uncle is artist.</t>
  </si>
  <si>
    <t>an artist</t>
  </si>
  <si>
    <t>the artist;a artist;—</t>
  </si>
  <si>
    <t>E-0331</t>
  </si>
  <si>
    <t>My uncle is engineer.</t>
  </si>
  <si>
    <t>an engineer</t>
  </si>
  <si>
    <t>the engineer;a engineer;—</t>
  </si>
  <si>
    <t>E-0332</t>
  </si>
  <si>
    <t>My uncle is scientist.</t>
  </si>
  <si>
    <t>a scientist</t>
  </si>
  <si>
    <t>the scientist;an scientist;—</t>
  </si>
  <si>
    <t>E-0333</t>
  </si>
  <si>
    <t>My uncle is designer.</t>
  </si>
  <si>
    <t>a designer</t>
  </si>
  <si>
    <t>the designer;an designer;—</t>
  </si>
  <si>
    <t>E-0334</t>
  </si>
  <si>
    <t>My uncle is writer.</t>
  </si>
  <si>
    <t>a writer</t>
  </si>
  <si>
    <t>the writer;an writer;—</t>
  </si>
  <si>
    <t>E-0335</t>
  </si>
  <si>
    <t>My uncle is photographer.</t>
  </si>
  <si>
    <t>a photographer</t>
  </si>
  <si>
    <t>the photographer;an photographer;—</t>
  </si>
  <si>
    <t>E-0336</t>
  </si>
  <si>
    <t>I have an profession.</t>
  </si>
  <si>
    <t>E-0337</t>
  </si>
  <si>
    <t>I have an career.</t>
  </si>
  <si>
    <t>E-0338</t>
  </si>
  <si>
    <t>I have a occupation.</t>
  </si>
  <si>
    <t>E-0339</t>
  </si>
  <si>
    <t>I have a employee.</t>
  </si>
  <si>
    <t>E-0340</t>
  </si>
  <si>
    <t>She wants to be entrepreneur.</t>
  </si>
  <si>
    <t>an entrepreneur</t>
  </si>
  <si>
    <t>a entrepreneur;the entrepreneur;—</t>
  </si>
  <si>
    <t>E-0341</t>
  </si>
  <si>
    <t>I happy today.</t>
  </si>
  <si>
    <t>am happy</t>
  </si>
  <si>
    <t>E-0342</t>
  </si>
  <si>
    <t>I sad today.</t>
  </si>
  <si>
    <t>am sad</t>
  </si>
  <si>
    <t>E-0343</t>
  </si>
  <si>
    <t>I angry today.</t>
  </si>
  <si>
    <t>am angry</t>
  </si>
  <si>
    <t>E-0344</t>
  </si>
  <si>
    <t>I tired today.</t>
  </si>
  <si>
    <t>am tired</t>
  </si>
  <si>
    <t>E-0345</t>
  </si>
  <si>
    <t>I hungry today.</t>
  </si>
  <si>
    <t>am hungry</t>
  </si>
  <si>
    <t>E-0346</t>
  </si>
  <si>
    <t>I excited today.</t>
  </si>
  <si>
    <t>am excited</t>
  </si>
  <si>
    <t>E-0347</t>
  </si>
  <si>
    <t>She scared of the dark.</t>
  </si>
  <si>
    <t>She scared</t>
  </si>
  <si>
    <t>She is scared</t>
  </si>
  <si>
    <t>E-0348</t>
  </si>
  <si>
    <t>I surprised today.</t>
  </si>
  <si>
    <t>am surprised</t>
  </si>
  <si>
    <t>E-0349</t>
  </si>
  <si>
    <t>I bored today.</t>
  </si>
  <si>
    <t>am bored</t>
  </si>
  <si>
    <t>E-0350</t>
  </si>
  <si>
    <t>I nervous today.</t>
  </si>
  <si>
    <t>am nervous</t>
  </si>
  <si>
    <t>E-0351</t>
  </si>
  <si>
    <t>She is proud for her son.</t>
  </si>
  <si>
    <t>for</t>
  </si>
  <si>
    <t>of</t>
  </si>
  <si>
    <t>for;to;—</t>
  </si>
  <si>
    <t>E-0352</t>
  </si>
  <si>
    <t>She is worried of the exam.</t>
  </si>
  <si>
    <t>about</t>
  </si>
  <si>
    <t>E-0353</t>
  </si>
  <si>
    <t>She is jealous for his friend.</t>
  </si>
  <si>
    <t>E-0354</t>
  </si>
  <si>
    <t>She is confident of her speech.</t>
  </si>
  <si>
    <t>E-0355</t>
  </si>
  <si>
    <t>She is disappointed of the result.</t>
  </si>
  <si>
    <t>with</t>
  </si>
  <si>
    <t>E-0356</t>
  </si>
  <si>
    <t>I have a emotion.</t>
  </si>
  <si>
    <t>E-0357</t>
  </si>
  <si>
    <t>She felt anxious of the interview.</t>
  </si>
  <si>
    <t>for;with;—</t>
  </si>
  <si>
    <t>E-0358</t>
  </si>
  <si>
    <t>He was very too embarrassed to speak.</t>
  </si>
  <si>
    <t>very too</t>
  </si>
  <si>
    <t>too</t>
  </si>
  <si>
    <t>so too;too very;—</t>
  </si>
  <si>
    <t>E-0359</t>
  </si>
  <si>
    <t>I am grateful of my friends.</t>
  </si>
  <si>
    <t>about;to;—</t>
  </si>
  <si>
    <t>E-0360</t>
  </si>
  <si>
    <t>He felt very too frustrated to continue.</t>
  </si>
  <si>
    <t>E-0361</t>
  </si>
  <si>
    <t>She buy a new toy.</t>
  </si>
  <si>
    <t>buys</t>
  </si>
  <si>
    <t>buying;bought;to buy</t>
  </si>
  <si>
    <t>E-0362</t>
  </si>
  <si>
    <t>The store sell fresh fruit.</t>
  </si>
  <si>
    <t>sells</t>
  </si>
  <si>
    <t>selling;sold;to sell</t>
  </si>
  <si>
    <t>E-0363</t>
  </si>
  <si>
    <t>I saved many money.</t>
  </si>
  <si>
    <t>E-0364</t>
  </si>
  <si>
    <t>How many</t>
  </si>
  <si>
    <t>How much</t>
  </si>
  <si>
    <t>How much many;How more;—</t>
  </si>
  <si>
    <t>E-0365</t>
  </si>
  <si>
    <t>I have an shop.</t>
  </si>
  <si>
    <t>E-0366</t>
  </si>
  <si>
    <t>I paid many cash.</t>
  </si>
  <si>
    <t>E-0367</t>
  </si>
  <si>
    <t>I have an coin.</t>
  </si>
  <si>
    <t>E-0368</t>
  </si>
  <si>
    <t>I have an bill.</t>
  </si>
  <si>
    <t>E-0369</t>
  </si>
  <si>
    <t>I have an receipt.</t>
  </si>
  <si>
    <t>E-0370</t>
  </si>
  <si>
    <t>I have an discount.</t>
  </si>
  <si>
    <t>E-0371</t>
  </si>
  <si>
    <t>I have an customer.</t>
  </si>
  <si>
    <t>E-0372</t>
  </si>
  <si>
    <t>I have an cashier.</t>
  </si>
  <si>
    <t>E-0373</t>
  </si>
  <si>
    <t>I have an cart.</t>
  </si>
  <si>
    <t>E-0374</t>
  </si>
  <si>
    <t>I have an mall.</t>
  </si>
  <si>
    <t>E-0375</t>
  </si>
  <si>
    <t>He likes bargain for a lower price.</t>
  </si>
  <si>
    <t>bargaining</t>
  </si>
  <si>
    <t>bargains;to bargain;—</t>
  </si>
  <si>
    <t>E-0376</t>
  </si>
  <si>
    <t>How many is our budget?</t>
  </si>
  <si>
    <t>E-0377</t>
  </si>
  <si>
    <t>I have a expense.</t>
  </si>
  <si>
    <t>E-0378</t>
  </si>
  <si>
    <t>I have an refund.</t>
  </si>
  <si>
    <t>E-0379</t>
  </si>
  <si>
    <t>I have an purchase.</t>
  </si>
  <si>
    <t>E-0380</t>
  </si>
  <si>
    <t>I have an consumer.</t>
  </si>
  <si>
    <t>E-0381</t>
  </si>
  <si>
    <t>The house is on the neighborhood.</t>
  </si>
  <si>
    <t>at;under;—</t>
  </si>
  <si>
    <t>E-0382</t>
  </si>
  <si>
    <t>The room is on the house.</t>
  </si>
  <si>
    <t>E-0383</t>
  </si>
  <si>
    <t>The bed is on the bedroom.</t>
  </si>
  <si>
    <t>E-0384</t>
  </si>
  <si>
    <t>The table is in the floor.</t>
  </si>
  <si>
    <t>E-0385</t>
  </si>
  <si>
    <t>The door is in the left.</t>
  </si>
  <si>
    <t>E-0386</t>
  </si>
  <si>
    <t>I have an kitchen.</t>
  </si>
  <si>
    <t>E-0387</t>
  </si>
  <si>
    <t>I have an bathroom.</t>
  </si>
  <si>
    <t>E-0388</t>
  </si>
  <si>
    <t>I have an window.</t>
  </si>
  <si>
    <t>E-0389</t>
  </si>
  <si>
    <t>I have an sofa.</t>
  </si>
  <si>
    <t>E-0390</t>
  </si>
  <si>
    <t>I have an lamp.</t>
  </si>
  <si>
    <t>E-0391</t>
  </si>
  <si>
    <t>We bought many new furniture.</t>
  </si>
  <si>
    <t>E-0392</t>
  </si>
  <si>
    <t>The car is on the garage.</t>
  </si>
  <si>
    <t>E-0393</t>
  </si>
  <si>
    <t>Snow is in the roof.</t>
  </si>
  <si>
    <t>E-0394</t>
  </si>
  <si>
    <t>The pictures hang on the hallway.</t>
  </si>
  <si>
    <t>E-0395</t>
  </si>
  <si>
    <t>I hung my coat on the closet.</t>
  </si>
  <si>
    <t>E-0396</t>
  </si>
  <si>
    <t>I have an residence.</t>
  </si>
  <si>
    <t>E-0397</t>
  </si>
  <si>
    <t>She studies many architecture.</t>
  </si>
  <si>
    <t>E-0398</t>
  </si>
  <si>
    <t>I have an structure.</t>
  </si>
  <si>
    <t>E-0399</t>
  </si>
  <si>
    <t>I have a interior.</t>
  </si>
  <si>
    <t>E-0400</t>
  </si>
  <si>
    <t>Their new apartment spacious.</t>
  </si>
  <si>
    <t>apartment spacious</t>
  </si>
  <si>
    <t>apartment is spacious</t>
  </si>
  <si>
    <r>
      <rPr>
        <sz val="9"/>
        <color rgb="FF666666"/>
        <rFont val="Arial"/>
        <family val="2"/>
        <charset val="1"/>
      </rPr>
      <t>※ A~H</t>
    </r>
    <r>
      <rPr>
        <sz val="9"/>
        <color rgb="FF666666"/>
        <rFont val="Noto Sans CJK SC"/>
        <family val="2"/>
      </rPr>
      <t xml:space="preserve">열이 </t>
    </r>
    <r>
      <rPr>
        <sz val="9"/>
        <color rgb="FF666666"/>
        <rFont val="Arial"/>
        <family val="2"/>
        <charset val="1"/>
      </rPr>
      <t xml:space="preserve">errors.jsonl </t>
    </r>
    <r>
      <rPr>
        <sz val="9"/>
        <color rgb="FF666666"/>
        <rFont val="Noto Sans CJK SC"/>
        <family val="2"/>
      </rPr>
      <t>납품 컬럼</t>
    </r>
    <r>
      <rPr>
        <sz val="9"/>
        <color rgb="FF666666"/>
        <rFont val="Arial"/>
        <family val="2"/>
        <charset val="1"/>
      </rPr>
      <t xml:space="preserve">. </t>
    </r>
    <r>
      <rPr>
        <sz val="9"/>
        <color rgb="FF666666"/>
        <rFont val="Noto Sans CJK SC"/>
        <family val="2"/>
      </rPr>
      <t xml:space="preserve">목표 </t>
    </r>
    <r>
      <rPr>
        <sz val="9"/>
        <color rgb="FF666666"/>
        <rFont val="Arial"/>
        <family val="2"/>
        <charset val="1"/>
      </rPr>
      <t>400</t>
    </r>
    <r>
      <rPr>
        <sz val="9"/>
        <color rgb="FF666666"/>
        <rFont val="Noto Sans CJK SC"/>
        <family val="2"/>
      </rPr>
      <t>개</t>
    </r>
    <r>
      <rPr>
        <sz val="9"/>
        <color rgb="FF666666"/>
        <rFont val="Arial"/>
        <family val="2"/>
        <charset val="1"/>
      </rPr>
      <t xml:space="preserve">(Unit01~20 </t>
    </r>
    <r>
      <rPr>
        <sz val="9"/>
        <color rgb="FF666666"/>
        <rFont val="Noto Sans CJK SC"/>
        <family val="2"/>
      </rPr>
      <t>확장 세트</t>
    </r>
    <r>
      <rPr>
        <sz val="9"/>
        <color rgb="FF666666"/>
        <rFont val="Arial"/>
        <family val="2"/>
        <charset val="1"/>
      </rPr>
      <t xml:space="preserve">, </t>
    </r>
    <r>
      <rPr>
        <sz val="9"/>
        <color rgb="FF666666"/>
        <rFont val="Noto Sans CJK SC"/>
        <family val="2"/>
      </rPr>
      <t xml:space="preserve">단어당 </t>
    </r>
    <r>
      <rPr>
        <sz val="9"/>
        <color rgb="FF666666"/>
        <rFont val="Arial"/>
        <family val="2"/>
        <charset val="1"/>
      </rPr>
      <t>1</t>
    </r>
    <r>
      <rPr>
        <sz val="9"/>
        <color rgb="FF666666"/>
        <rFont val="Noto Sans CJK SC"/>
        <family val="2"/>
      </rPr>
      <t>문장</t>
    </r>
    <r>
      <rPr>
        <sz val="9"/>
        <color rgb="FF666666"/>
        <rFont val="Arial"/>
        <family val="2"/>
        <charset val="1"/>
      </rPr>
      <t xml:space="preserve">). </t>
    </r>
    <r>
      <rPr>
        <sz val="9"/>
        <color rgb="FF666666"/>
        <rFont val="Noto Sans CJK SC"/>
        <family val="2"/>
      </rPr>
      <t xml:space="preserve">기존 </t>
    </r>
    <r>
      <rPr>
        <sz val="9"/>
        <color rgb="FF666666"/>
        <rFont val="Arial"/>
        <family val="2"/>
        <charset val="1"/>
      </rPr>
      <t>U3~U5</t>
    </r>
    <r>
      <rPr>
        <sz val="9"/>
        <color rgb="FF666666"/>
        <rFont val="Noto Sans CJK SC"/>
        <family val="2"/>
      </rPr>
      <t xml:space="preserve">용 예시 </t>
    </r>
    <r>
      <rPr>
        <sz val="9"/>
        <color rgb="FF666666"/>
        <rFont val="Arial"/>
        <family val="2"/>
        <charset val="1"/>
      </rPr>
      <t>8</t>
    </r>
    <r>
      <rPr>
        <sz val="9"/>
        <color rgb="FF666666"/>
        <rFont val="Noto Sans CJK SC"/>
        <family val="2"/>
      </rPr>
      <t>개는 정리 과정에서 제거함</t>
    </r>
    <r>
      <rPr>
        <sz val="9"/>
        <color rgb="FF666666"/>
        <rFont val="Arial"/>
        <family val="2"/>
        <charset val="1"/>
      </rPr>
      <t xml:space="preserve">. distractors </t>
    </r>
    <r>
      <rPr>
        <sz val="9"/>
        <color rgb="FF666666"/>
        <rFont val="Noto Sans CJK SC"/>
        <family val="2"/>
      </rPr>
      <t xml:space="preserve">는 </t>
    </r>
    <r>
      <rPr>
        <sz val="9"/>
        <color rgb="FF666666"/>
        <rFont val="Arial"/>
        <family val="2"/>
        <charset val="1"/>
      </rPr>
      <t xml:space="preserve">; </t>
    </r>
    <r>
      <rPr>
        <sz val="9"/>
        <color rgb="FF666666"/>
        <rFont val="Noto Sans CJK SC"/>
        <family val="2"/>
      </rPr>
      <t xml:space="preserve">로 </t>
    </r>
    <r>
      <rPr>
        <sz val="9"/>
        <color rgb="FF666666"/>
        <rFont val="Arial"/>
        <family val="2"/>
        <charset val="1"/>
      </rPr>
      <t>3</t>
    </r>
    <r>
      <rPr>
        <sz val="9"/>
        <color rgb="FF666666"/>
        <rFont val="Noto Sans CJK SC"/>
        <family val="2"/>
      </rPr>
      <t xml:space="preserve">개를 구분해 적는다 — </t>
    </r>
    <r>
      <rPr>
        <sz val="9"/>
        <color rgb="FF666666"/>
        <rFont val="Arial"/>
        <family val="2"/>
        <charset val="1"/>
      </rPr>
      <t>chk_</t>
    </r>
    <r>
      <rPr>
        <sz val="9"/>
        <color rgb="FF666666"/>
        <rFont val="Noto Sans CJK SC"/>
        <family val="2"/>
      </rPr>
      <t>보기수 가 세미콜론 개수로 검사한다</t>
    </r>
    <r>
      <rPr>
        <sz val="9"/>
        <color rgb="FF666666"/>
        <rFont val="Arial"/>
        <family val="2"/>
        <charset val="1"/>
      </rPr>
      <t xml:space="preserve">. target </t>
    </r>
    <r>
      <rPr>
        <sz val="9"/>
        <color rgb="FF666666"/>
        <rFont val="Noto Sans CJK SC"/>
        <family val="2"/>
      </rPr>
      <t>은 학생이 고쳐야 할 원래 낱말</t>
    </r>
    <r>
      <rPr>
        <sz val="9"/>
        <color rgb="FF666666"/>
        <rFont val="Arial"/>
        <family val="2"/>
        <charset val="1"/>
      </rPr>
      <t xml:space="preserve">, fix </t>
    </r>
    <r>
      <rPr>
        <sz val="9"/>
        <color rgb="FF666666"/>
        <rFont val="Noto Sans CJK SC"/>
        <family val="2"/>
      </rPr>
      <t>는 정답이다</t>
    </r>
    <r>
      <rPr>
        <sz val="9"/>
        <color rgb="FF666666"/>
        <rFont val="Arial"/>
        <family val="2"/>
        <charset val="1"/>
      </rPr>
      <t xml:space="preserve">. </t>
    </r>
    <r>
      <rPr>
        <sz val="9"/>
        <color rgb="FF666666"/>
        <rFont val="Noto Sans CJK SC"/>
        <family val="2"/>
      </rPr>
      <t xml:space="preserve">두 값이 </t>
    </r>
    <r>
      <rPr>
        <sz val="9"/>
        <color rgb="FF666666"/>
        <rFont val="Arial"/>
        <family val="2"/>
        <charset val="1"/>
      </rPr>
      <t xml:space="preserve">error·correct </t>
    </r>
    <r>
      <rPr>
        <sz val="9"/>
        <color rgb="FF666666"/>
        <rFont val="Noto Sans CJK SC"/>
        <family val="2"/>
      </rPr>
      <t>문장 안에 실제로 들어 있는지는 사람이 확인한다</t>
    </r>
    <r>
      <rPr>
        <sz val="9"/>
        <color rgb="FF666666"/>
        <rFont val="Arial"/>
        <family val="2"/>
        <charset val="1"/>
      </rPr>
      <t>(</t>
    </r>
    <r>
      <rPr>
        <sz val="9"/>
        <color rgb="FF666666"/>
        <rFont val="Noto Sans CJK SC"/>
        <family val="2"/>
      </rPr>
      <t>수식으로 잡지 않는다</t>
    </r>
    <r>
      <rPr>
        <sz val="9"/>
        <color rgb="FF666666"/>
        <rFont val="Arial"/>
        <family val="2"/>
        <charset val="1"/>
      </rPr>
      <t>).</t>
    </r>
  </si>
  <si>
    <t>question</t>
  </si>
  <si>
    <r>
      <rPr>
        <b/>
        <sz val="10"/>
        <color rgb="FFFFFFFF"/>
        <rFont val="Arial"/>
        <family val="2"/>
        <charset val="1"/>
      </rPr>
      <t>variants (;</t>
    </r>
    <r>
      <rPr>
        <b/>
        <sz val="10"/>
        <color rgb="FFFFFFFF"/>
        <rFont val="Noto Sans CJK SC"/>
        <family val="2"/>
      </rPr>
      <t>구분</t>
    </r>
    <r>
      <rPr>
        <b/>
        <sz val="10"/>
        <color rgb="FFFFFFFF"/>
        <rFont val="Arial"/>
        <family val="2"/>
        <charset val="1"/>
      </rPr>
      <t>)</t>
    </r>
  </si>
  <si>
    <t>answer</t>
  </si>
  <si>
    <t>질문유형</t>
  </si>
  <si>
    <r>
      <rPr>
        <b/>
        <sz val="10"/>
        <color rgb="FFFFFFFF"/>
        <rFont val="Arial"/>
        <family val="2"/>
        <charset val="1"/>
      </rPr>
      <t>chk_variants</t>
    </r>
    <r>
      <rPr>
        <b/>
        <sz val="10"/>
        <color rgb="FFFFFFFF"/>
        <rFont val="Noto Sans CJK SC"/>
        <family val="2"/>
      </rPr>
      <t>수</t>
    </r>
  </si>
  <si>
    <t>F-01</t>
  </si>
  <si>
    <t>왜 went예요?</t>
  </si>
  <si>
    <r>
      <rPr>
        <sz val="10"/>
        <rFont val="Arial"/>
        <family val="2"/>
        <charset val="1"/>
      </rPr>
      <t xml:space="preserve">go </t>
    </r>
    <r>
      <rPr>
        <sz val="10"/>
        <rFont val="Noto Sans CJK SC"/>
        <family val="2"/>
      </rPr>
      <t>과거가 뭐예요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갔다를 영어로 뭐라고 해요</t>
    </r>
    <r>
      <rPr>
        <sz val="10"/>
        <rFont val="Arial"/>
        <family val="2"/>
        <charset val="1"/>
      </rPr>
      <t>;went</t>
    </r>
    <r>
      <rPr>
        <sz val="10"/>
        <rFont val="Noto Sans CJK SC"/>
        <family val="2"/>
      </rPr>
      <t>가 무슨 뜻이에요</t>
    </r>
  </si>
  <si>
    <r>
      <rPr>
        <sz val="10"/>
        <rFont val="Arial"/>
        <family val="2"/>
        <charset val="1"/>
      </rPr>
      <t>go</t>
    </r>
    <r>
      <rPr>
        <sz val="10"/>
        <rFont val="Noto Sans CJK SC"/>
        <family val="2"/>
      </rPr>
      <t xml:space="preserve">의 과거형은 규칙 없이 </t>
    </r>
    <r>
      <rPr>
        <sz val="10"/>
        <rFont val="Arial"/>
        <family val="2"/>
        <charset val="1"/>
      </rPr>
      <t>went</t>
    </r>
    <r>
      <rPr>
        <sz val="10"/>
        <rFont val="Noto Sans CJK SC"/>
        <family val="2"/>
      </rPr>
      <t>로 바뀌어요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이런 동사를 불규칙 동사라고 해요</t>
    </r>
    <r>
      <rPr>
        <sz val="10"/>
        <rFont val="Arial"/>
        <family val="2"/>
        <charset val="1"/>
      </rPr>
      <t>. see</t>
    </r>
    <r>
      <rPr>
        <sz val="10"/>
        <rFont val="Noto Sans CJK SC"/>
        <family val="2"/>
      </rPr>
      <t xml:space="preserve">는 </t>
    </r>
    <r>
      <rPr>
        <sz val="10"/>
        <rFont val="Arial"/>
        <family val="2"/>
        <charset val="1"/>
      </rPr>
      <t>saw, eat</t>
    </r>
    <r>
      <rPr>
        <sz val="10"/>
        <rFont val="Noto Sans CJK SC"/>
        <family val="2"/>
      </rPr>
      <t xml:space="preserve">는 </t>
    </r>
    <r>
      <rPr>
        <sz val="10"/>
        <rFont val="Arial"/>
        <family val="2"/>
        <charset val="1"/>
      </rPr>
      <t>ate</t>
    </r>
    <r>
      <rPr>
        <sz val="10"/>
        <rFont val="Noto Sans CJK SC"/>
        <family val="2"/>
      </rPr>
      <t>가 돼요</t>
    </r>
    <r>
      <rPr>
        <sz val="10"/>
        <rFont val="Arial"/>
        <family val="2"/>
        <charset val="1"/>
      </rPr>
      <t>.</t>
    </r>
  </si>
  <si>
    <t>I went to the zoo yesterday.</t>
  </si>
  <si>
    <t>규칙 질문</t>
  </si>
  <si>
    <t>F-02</t>
  </si>
  <si>
    <r>
      <rPr>
        <sz val="10"/>
        <rFont val="Arial"/>
        <family val="2"/>
        <charset val="1"/>
      </rPr>
      <t>saw</t>
    </r>
    <r>
      <rPr>
        <sz val="10"/>
        <rFont val="Noto Sans CJK SC"/>
        <family val="2"/>
      </rPr>
      <t>는 무슨 뜻이에요</t>
    </r>
    <r>
      <rPr>
        <sz val="10"/>
        <rFont val="Arial"/>
        <family val="2"/>
        <charset val="1"/>
      </rPr>
      <t>?</t>
    </r>
  </si>
  <si>
    <r>
      <rPr>
        <sz val="10"/>
        <rFont val="Arial"/>
        <family val="2"/>
        <charset val="1"/>
      </rPr>
      <t>saw</t>
    </r>
    <r>
      <rPr>
        <sz val="10"/>
        <rFont val="Noto Sans CJK SC"/>
        <family val="2"/>
      </rPr>
      <t>가 뭐예요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봤다를 영어로</t>
    </r>
    <r>
      <rPr>
        <sz val="10"/>
        <rFont val="Arial"/>
        <family val="2"/>
        <charset val="1"/>
      </rPr>
      <t xml:space="preserve">;see </t>
    </r>
    <r>
      <rPr>
        <sz val="10"/>
        <rFont val="Noto Sans CJK SC"/>
        <family val="2"/>
      </rPr>
      <t>과거형</t>
    </r>
  </si>
  <si>
    <r>
      <rPr>
        <sz val="10"/>
        <rFont val="Arial"/>
        <family val="2"/>
        <charset val="1"/>
      </rPr>
      <t>saw</t>
    </r>
    <r>
      <rPr>
        <sz val="10"/>
        <rFont val="Noto Sans CJK SC"/>
        <family val="2"/>
      </rPr>
      <t xml:space="preserve">는 </t>
    </r>
    <r>
      <rPr>
        <sz val="10"/>
        <rFont val="Arial"/>
        <family val="2"/>
        <charset val="1"/>
      </rPr>
      <t>see(</t>
    </r>
    <r>
      <rPr>
        <sz val="10"/>
        <rFont val="Noto Sans CJK SC"/>
        <family val="2"/>
      </rPr>
      <t>보다</t>
    </r>
    <r>
      <rPr>
        <sz val="10"/>
        <rFont val="Arial"/>
        <family val="2"/>
        <charset val="1"/>
      </rPr>
      <t>)</t>
    </r>
    <r>
      <rPr>
        <sz val="10"/>
        <rFont val="Noto Sans CJK SC"/>
        <family val="2"/>
      </rPr>
      <t>의 과거형이에요</t>
    </r>
    <r>
      <rPr>
        <sz val="10"/>
        <rFont val="Arial"/>
        <family val="2"/>
        <charset val="1"/>
      </rPr>
      <t>. '</t>
    </r>
    <r>
      <rPr>
        <sz val="10"/>
        <rFont val="Noto Sans CJK SC"/>
        <family val="2"/>
      </rPr>
      <t>봤다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라는 뜻이에요</t>
    </r>
    <r>
      <rPr>
        <sz val="10"/>
        <rFont val="Arial"/>
        <family val="2"/>
        <charset val="1"/>
      </rPr>
      <t>.</t>
    </r>
  </si>
  <si>
    <t>I saw a rabbit.</t>
  </si>
  <si>
    <t>단어 뜻 질문</t>
  </si>
  <si>
    <t>F-03</t>
  </si>
  <si>
    <r>
      <rPr>
        <sz val="10"/>
        <rFont val="Arial"/>
        <family val="2"/>
        <charset val="1"/>
      </rPr>
      <t>a</t>
    </r>
    <r>
      <rPr>
        <sz val="10"/>
        <rFont val="Noto Sans CJK SC"/>
        <family val="2"/>
      </rPr>
      <t xml:space="preserve">랑 </t>
    </r>
    <r>
      <rPr>
        <sz val="10"/>
        <rFont val="Arial"/>
        <family val="2"/>
        <charset val="1"/>
      </rPr>
      <t xml:space="preserve">an </t>
    </r>
    <r>
      <rPr>
        <sz val="10"/>
        <rFont val="Noto Sans CJK SC"/>
        <family val="2"/>
      </rPr>
      <t>차이가 뭐예요</t>
    </r>
    <r>
      <rPr>
        <sz val="10"/>
        <rFont val="Arial"/>
        <family val="2"/>
        <charset val="1"/>
      </rPr>
      <t>?</t>
    </r>
  </si>
  <si>
    <t>언제 an 써요;an elephant 왜 an이에요;a elephant 틀렸어요?</t>
  </si>
  <si>
    <t>다음 단어의 첫 소리가 a, e, i, o, u면 an, 아니면 a예요. 글자가 아니라 소리예요. an elephant, a rabbit.</t>
  </si>
  <si>
    <t>R-34;R-38</t>
  </si>
  <si>
    <t>I saw an elephant.</t>
  </si>
  <si>
    <t>F-04</t>
  </si>
  <si>
    <r>
      <rPr>
        <sz val="10"/>
        <rFont val="Arial"/>
        <family val="2"/>
        <charset val="1"/>
      </rPr>
      <t xml:space="preserve">yesterday </t>
    </r>
    <r>
      <rPr>
        <sz val="10"/>
        <rFont val="Noto Sans CJK SC"/>
        <family val="2"/>
      </rPr>
      <t>대신 뭘 쓸 수 있어요</t>
    </r>
    <r>
      <rPr>
        <sz val="10"/>
        <rFont val="Arial"/>
        <family val="2"/>
        <charset val="1"/>
      </rPr>
      <t>?</t>
    </r>
  </si>
  <si>
    <t>지난주는 영어로;어제 말고 다른 말;과거 표현 뭐 있어요</t>
  </si>
  <si>
    <r>
      <rPr>
        <sz val="10"/>
        <rFont val="Arial"/>
        <family val="2"/>
        <charset val="1"/>
      </rPr>
      <t>last week(</t>
    </r>
    <r>
      <rPr>
        <sz val="10"/>
        <rFont val="Noto Sans CJK SC"/>
        <family val="2"/>
      </rPr>
      <t>지난주</t>
    </r>
    <r>
      <rPr>
        <sz val="10"/>
        <rFont val="Arial"/>
        <family val="2"/>
        <charset val="1"/>
      </rPr>
      <t>), last night(</t>
    </r>
    <r>
      <rPr>
        <sz val="10"/>
        <rFont val="Noto Sans CJK SC"/>
        <family val="2"/>
      </rPr>
      <t>어젯밤</t>
    </r>
    <r>
      <rPr>
        <sz val="10"/>
        <rFont val="Arial"/>
        <family val="2"/>
        <charset val="1"/>
      </rPr>
      <t>), two days ago(</t>
    </r>
    <r>
      <rPr>
        <sz val="10"/>
        <rFont val="Noto Sans CJK SC"/>
        <family val="2"/>
      </rPr>
      <t>이틀 전</t>
    </r>
    <r>
      <rPr>
        <sz val="10"/>
        <rFont val="Arial"/>
        <family val="2"/>
        <charset val="1"/>
      </rPr>
      <t>)</t>
    </r>
    <r>
      <rPr>
        <sz val="10"/>
        <rFont val="Noto Sans CJK SC"/>
        <family val="2"/>
      </rPr>
      <t>처럼 지난 때를 나타내는 말이면 다 과거형 동사와 같이 써요</t>
    </r>
    <r>
      <rPr>
        <sz val="10"/>
        <rFont val="Arial"/>
        <family val="2"/>
        <charset val="1"/>
      </rPr>
      <t>.</t>
    </r>
  </si>
  <si>
    <t>We ate pizza last night.</t>
  </si>
  <si>
    <t>다른 예문 요청</t>
  </si>
  <si>
    <t>F-05</t>
  </si>
  <si>
    <t>왜 -s를 붙여요?</t>
  </si>
  <si>
    <r>
      <rPr>
        <sz val="10"/>
        <rFont val="Arial"/>
        <family val="2"/>
        <charset val="1"/>
      </rPr>
      <t xml:space="preserve">eats </t>
    </r>
    <r>
      <rPr>
        <sz val="10"/>
        <rFont val="Noto Sans CJK SC"/>
        <family val="2"/>
      </rPr>
      <t xml:space="preserve">왜 </t>
    </r>
    <r>
      <rPr>
        <sz val="10"/>
        <rFont val="Arial"/>
        <family val="2"/>
        <charset val="1"/>
      </rPr>
      <t xml:space="preserve">s </t>
    </r>
    <r>
      <rPr>
        <sz val="10"/>
        <rFont val="Noto Sans CJK SC"/>
        <family val="2"/>
      </rPr>
      <t>붙어요</t>
    </r>
    <r>
      <rPr>
        <sz val="10"/>
        <rFont val="Arial"/>
        <family val="2"/>
        <charset val="1"/>
      </rPr>
      <t>;3</t>
    </r>
    <r>
      <rPr>
        <sz val="10"/>
        <rFont val="Noto Sans CJK SC"/>
        <family val="2"/>
      </rPr>
      <t>인칭 단수가 뭐예요</t>
    </r>
    <r>
      <rPr>
        <sz val="10"/>
        <rFont val="Arial"/>
        <family val="2"/>
        <charset val="1"/>
      </rPr>
      <t xml:space="preserve">;she like </t>
    </r>
    <r>
      <rPr>
        <sz val="10"/>
        <rFont val="Noto Sans CJK SC"/>
        <family val="2"/>
      </rPr>
      <t>틀렸어요</t>
    </r>
    <r>
      <rPr>
        <sz val="10"/>
        <rFont val="Arial"/>
        <family val="2"/>
        <charset val="1"/>
      </rPr>
      <t>?</t>
    </r>
  </si>
  <si>
    <r>
      <rPr>
        <sz val="10"/>
        <rFont val="Arial"/>
        <family val="2"/>
        <charset val="1"/>
      </rPr>
      <t>he, she, it</t>
    </r>
    <r>
      <rPr>
        <sz val="10"/>
        <rFont val="Noto Sans CJK SC"/>
        <family val="2"/>
      </rPr>
      <t xml:space="preserve">처럼 한 명이나 한 마리가 지금 하는 일이면 동사 끝에 </t>
    </r>
    <r>
      <rPr>
        <sz val="10"/>
        <rFont val="Arial"/>
        <family val="2"/>
        <charset val="1"/>
      </rPr>
      <t>-s</t>
    </r>
    <r>
      <rPr>
        <sz val="10"/>
        <rFont val="Noto Sans CJK SC"/>
        <family val="2"/>
      </rPr>
      <t>를 붙여요</t>
    </r>
    <r>
      <rPr>
        <sz val="10"/>
        <rFont val="Arial"/>
        <family val="2"/>
        <charset val="1"/>
      </rPr>
      <t>. I</t>
    </r>
    <r>
      <rPr>
        <sz val="10"/>
        <rFont val="Noto Sans CJK SC"/>
        <family val="2"/>
      </rPr>
      <t xml:space="preserve">나 </t>
    </r>
    <r>
      <rPr>
        <sz val="10"/>
        <rFont val="Arial"/>
        <family val="2"/>
        <charset val="1"/>
      </rPr>
      <t>you, they</t>
    </r>
    <r>
      <rPr>
        <sz val="10"/>
        <rFont val="Noto Sans CJK SC"/>
        <family val="2"/>
      </rPr>
      <t>는 안 붙여요</t>
    </r>
    <r>
      <rPr>
        <sz val="10"/>
        <rFont val="Arial"/>
        <family val="2"/>
        <charset val="1"/>
      </rPr>
      <t>.</t>
    </r>
  </si>
  <si>
    <t>The lion eats meat.</t>
  </si>
  <si>
    <t>F-06</t>
  </si>
  <si>
    <t>동물원이 영어로 뭐예요?</t>
  </si>
  <si>
    <r>
      <rPr>
        <sz val="10"/>
        <rFont val="Arial"/>
        <family val="2"/>
        <charset val="1"/>
      </rPr>
      <t>zoo</t>
    </r>
    <r>
      <rPr>
        <sz val="10"/>
        <rFont val="Noto Sans CJK SC"/>
        <family val="2"/>
      </rPr>
      <t>가 뭐예요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동물원 영어</t>
    </r>
    <r>
      <rPr>
        <sz val="10"/>
        <rFont val="Arial"/>
        <family val="2"/>
        <charset val="1"/>
      </rPr>
      <t xml:space="preserve">;zoo </t>
    </r>
    <r>
      <rPr>
        <sz val="10"/>
        <rFont val="Noto Sans CJK SC"/>
        <family val="2"/>
      </rPr>
      <t>뜻이 뭐예요</t>
    </r>
  </si>
  <si>
    <r>
      <rPr>
        <sz val="10"/>
        <rFont val="Arial"/>
        <family val="2"/>
        <charset val="1"/>
      </rPr>
      <t>zoo</t>
    </r>
    <r>
      <rPr>
        <sz val="10"/>
        <rFont val="Noto Sans CJK SC"/>
        <family val="2"/>
      </rPr>
      <t>예요</t>
    </r>
    <r>
      <rPr>
        <sz val="10"/>
        <rFont val="Arial"/>
        <family val="2"/>
        <charset val="1"/>
      </rPr>
      <t xml:space="preserve">. We went to the zoo. = </t>
    </r>
    <r>
      <rPr>
        <sz val="10"/>
        <rFont val="Noto Sans CJK SC"/>
        <family val="2"/>
      </rPr>
      <t>우리는 동물원에 갔어요</t>
    </r>
    <r>
      <rPr>
        <sz val="10"/>
        <rFont val="Arial"/>
        <family val="2"/>
        <charset val="1"/>
      </rPr>
      <t>.</t>
    </r>
  </si>
  <si>
    <t>We went to the zoo.</t>
  </si>
  <si>
    <r>
      <rPr>
        <sz val="10"/>
        <rFont val="Arial"/>
        <family val="2"/>
        <charset val="1"/>
      </rPr>
      <t xml:space="preserve">unit </t>
    </r>
    <r>
      <rPr>
        <sz val="10"/>
        <rFont val="Noto Sans CJK SC"/>
        <family val="2"/>
      </rPr>
      <t xml:space="preserve">이 </t>
    </r>
    <r>
      <rPr>
        <sz val="10"/>
        <rFont val="Arial"/>
        <family val="2"/>
        <charset val="1"/>
      </rPr>
      <t xml:space="preserve">U5 </t>
    </r>
    <r>
      <rPr>
        <sz val="10"/>
        <rFont val="Noto Sans CJK SC"/>
        <family val="2"/>
      </rPr>
      <t xml:space="preserve">인데 </t>
    </r>
    <r>
      <rPr>
        <sz val="10"/>
        <rFont val="Arial"/>
        <family val="2"/>
        <charset val="1"/>
      </rPr>
      <t xml:space="preserve">R-02 </t>
    </r>
    <r>
      <rPr>
        <sz val="10"/>
        <rFont val="Noto Sans CJK SC"/>
        <family val="2"/>
      </rPr>
      <t xml:space="preserve">는 </t>
    </r>
    <r>
      <rPr>
        <sz val="10"/>
        <rFont val="Arial"/>
        <family val="2"/>
        <charset val="1"/>
      </rPr>
      <t xml:space="preserve">U5 </t>
    </r>
    <r>
      <rPr>
        <sz val="10"/>
        <rFont val="Noto Sans CJK SC"/>
        <family val="2"/>
      </rPr>
      <t xml:space="preserve">의 </t>
    </r>
    <r>
      <rPr>
        <sz val="10"/>
        <rFont val="Arial"/>
        <family val="2"/>
        <charset val="1"/>
      </rPr>
      <t xml:space="preserve">rule_ids </t>
    </r>
    <r>
      <rPr>
        <sz val="10"/>
        <rFont val="Noto Sans CJK SC"/>
        <family val="2"/>
      </rPr>
      <t>에 없음 — 확인 필요</t>
    </r>
  </si>
  <si>
    <t>F-07</t>
  </si>
  <si>
    <t>왜 I am sorry에는 am이 있어요?</t>
  </si>
  <si>
    <t>형용사 앞에 뭐가 와요;am 없이 I sorry 하면 안 돼요?;be동사가 왜 필요해요</t>
  </si>
  <si>
    <t>성격이나 기분을 나타내는 형용사(sorry, polite 등) 앞에는 반드시 am/is/are 같은 be동사가 와야 해요.</t>
  </si>
  <si>
    <t>F-08</t>
  </si>
  <si>
    <t>Tom's book에서 's는 뭐예요?</t>
  </si>
  <si>
    <r>
      <rPr>
        <sz val="10"/>
        <rFont val="Arial"/>
        <family val="2"/>
        <charset val="1"/>
      </rPr>
      <t>'s</t>
    </r>
    <r>
      <rPr>
        <sz val="10"/>
        <rFont val="Noto Sans CJK SC"/>
        <family val="2"/>
      </rPr>
      <t>가 무슨 뜻이에요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누구 것인지 어떻게 말해요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소유격이 뭐예요</t>
    </r>
  </si>
  <si>
    <t>이름 뒤에 's를 붙이면 '~의 것'이라는 뜻이 돼요. Tom's book = 톰의 책.</t>
  </si>
  <si>
    <t>This is Tom's book.</t>
  </si>
  <si>
    <t>F-09</t>
  </si>
  <si>
    <t>There is와 There are는 언제 써요?</t>
  </si>
  <si>
    <t>하나일 때랑 여럿일 때 뭐가 달라요;There is many 이렇게 써도 돼요?;is/are 어떻게 골라요</t>
  </si>
  <si>
    <t>뒤에 오는 것이 하나면 There is, 여러 개면 There are를 써요. 뒤의 명사 수에 맞춰야 해요.</t>
  </si>
  <si>
    <t>There are many students.</t>
  </si>
  <si>
    <t>F-10</t>
  </si>
  <si>
    <t>can 뒤에 왜 동사에 -s를 안 붙여요?</t>
  </si>
  <si>
    <r>
      <rPr>
        <sz val="10"/>
        <rFont val="Arial"/>
        <family val="2"/>
        <charset val="1"/>
      </rPr>
      <t xml:space="preserve">can jumps </t>
    </r>
    <r>
      <rPr>
        <sz val="10"/>
        <rFont val="Noto Sans CJK SC"/>
        <family val="2"/>
      </rPr>
      <t>왜 틀려요</t>
    </r>
    <r>
      <rPr>
        <sz val="10"/>
        <rFont val="Arial"/>
        <family val="2"/>
        <charset val="1"/>
      </rPr>
      <t xml:space="preserve">;can </t>
    </r>
    <r>
      <rPr>
        <sz val="10"/>
        <rFont val="Noto Sans CJK SC"/>
        <family val="2"/>
      </rPr>
      <t>다음엔 뭐가 와요</t>
    </r>
    <r>
      <rPr>
        <sz val="10"/>
        <rFont val="Arial"/>
        <family val="2"/>
        <charset val="1"/>
      </rPr>
      <t xml:space="preserve">;can runs </t>
    </r>
    <r>
      <rPr>
        <sz val="10"/>
        <rFont val="Noto Sans CJK SC"/>
        <family val="2"/>
      </rPr>
      <t>이거 맞아요</t>
    </r>
    <r>
      <rPr>
        <sz val="10"/>
        <rFont val="Arial"/>
        <family val="2"/>
        <charset val="1"/>
      </rPr>
      <t>?</t>
    </r>
  </si>
  <si>
    <r>
      <rPr>
        <sz val="10"/>
        <rFont val="Arial"/>
        <family val="2"/>
        <charset val="1"/>
      </rPr>
      <t xml:space="preserve">can </t>
    </r>
    <r>
      <rPr>
        <sz val="10"/>
        <rFont val="Noto Sans CJK SC"/>
        <family val="2"/>
      </rPr>
      <t>뒤에는 주어가 무엇이든 항상 동사원형을 그대로 써요</t>
    </r>
    <r>
      <rPr>
        <sz val="10"/>
        <rFont val="Arial"/>
        <family val="2"/>
        <charset val="1"/>
      </rPr>
      <t>. -s</t>
    </r>
    <r>
      <rPr>
        <sz val="10"/>
        <rFont val="Noto Sans CJK SC"/>
        <family val="2"/>
      </rPr>
      <t xml:space="preserve">나 </t>
    </r>
    <r>
      <rPr>
        <sz val="10"/>
        <rFont val="Arial"/>
        <family val="2"/>
        <charset val="1"/>
      </rPr>
      <t>-ing</t>
    </r>
    <r>
      <rPr>
        <sz val="10"/>
        <rFont val="Noto Sans CJK SC"/>
        <family val="2"/>
      </rPr>
      <t>를 붙이면 안 돼요</t>
    </r>
    <r>
      <rPr>
        <sz val="10"/>
        <rFont val="Arial"/>
        <family val="2"/>
        <charset val="1"/>
      </rPr>
      <t>.</t>
    </r>
  </si>
  <si>
    <t>F-11</t>
  </si>
  <si>
    <t>물이나 밥은 왜 many를 못 써요?</t>
  </si>
  <si>
    <t>셀 수 없는 명사가 뭐예요;much랑 many 차이가 뭐예요;water many 이거 왜 틀려요</t>
  </si>
  <si>
    <t>물, 밥처럼 개수를 셀 수 없는 것은 many 대신 much나 some을 써요.</t>
  </si>
  <si>
    <t>F-12</t>
  </si>
  <si>
    <t>형용사는 왜 명사 앞에 와요?</t>
  </si>
  <si>
    <r>
      <rPr>
        <sz val="10"/>
        <rFont val="Arial"/>
        <family val="2"/>
        <charset val="1"/>
      </rPr>
      <t xml:space="preserve">red apple </t>
    </r>
    <r>
      <rPr>
        <sz val="10"/>
        <rFont val="Noto Sans CJK SC"/>
        <family val="2"/>
      </rPr>
      <t>순서가 왜 그래요</t>
    </r>
    <r>
      <rPr>
        <sz val="10"/>
        <rFont val="Arial"/>
        <family val="2"/>
        <charset val="1"/>
      </rPr>
      <t xml:space="preserve">;apple red </t>
    </r>
    <r>
      <rPr>
        <sz val="10"/>
        <rFont val="Noto Sans CJK SC"/>
        <family val="2"/>
      </rPr>
      <t>이렇게 쓰면 안 돼요</t>
    </r>
    <r>
      <rPr>
        <sz val="10"/>
        <rFont val="Arial"/>
        <family val="2"/>
        <charset val="1"/>
      </rPr>
      <t>?;</t>
    </r>
    <r>
      <rPr>
        <sz val="10"/>
        <rFont val="Noto Sans CJK SC"/>
        <family val="2"/>
      </rPr>
      <t>색깔 말할 때 순서가 어떻게 돼요</t>
    </r>
  </si>
  <si>
    <t>색깔이나 모양을 나타내는 형용사는 우리말과 반대로 명사 앞에 와요. a red apple처럼요.</t>
  </si>
  <si>
    <t>I have a red apple.</t>
  </si>
  <si>
    <t>F-13</t>
  </si>
  <si>
    <t>날씨 말할 때 It은 무슨 뜻이에요?</t>
  </si>
  <si>
    <r>
      <rPr>
        <sz val="10"/>
        <rFont val="Arial"/>
        <family val="2"/>
        <charset val="1"/>
      </rPr>
      <t>It is sunny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2"/>
        <charset val="1"/>
      </rPr>
      <t>It</t>
    </r>
    <r>
      <rPr>
        <sz val="10"/>
        <rFont val="Noto Sans CJK SC"/>
        <family val="2"/>
      </rPr>
      <t>이 뭘 가리켜요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 xml:space="preserve">날씨는 </t>
    </r>
    <r>
      <rPr>
        <sz val="10"/>
        <rFont val="Arial"/>
        <family val="2"/>
        <charset val="1"/>
      </rPr>
      <t>This is</t>
    </r>
    <r>
      <rPr>
        <sz val="10"/>
        <rFont val="Noto Sans CJK SC"/>
        <family val="2"/>
      </rPr>
      <t>로 말하면 안 돼요</t>
    </r>
    <r>
      <rPr>
        <sz val="10"/>
        <rFont val="Arial"/>
        <family val="2"/>
        <charset val="1"/>
      </rPr>
      <t>?;</t>
    </r>
    <r>
      <rPr>
        <sz val="10"/>
        <rFont val="Noto Sans CJK SC"/>
        <family val="2"/>
      </rPr>
      <t>비인칭주어가 뭐예요</t>
    </r>
  </si>
  <si>
    <t>날씨를 말할 때 쓰는 It은 특별한 뜻이 없는 주어예요. this나 that으로 바꿔 쓰면 안 돼요.</t>
  </si>
  <si>
    <t>F-14</t>
  </si>
  <si>
    <t>지금 입고 있다는 왜 wear가 아니라 wearing이에요?</t>
  </si>
  <si>
    <r>
      <rPr>
        <sz val="10"/>
        <rFont val="Arial"/>
        <family val="2"/>
        <charset val="1"/>
      </rPr>
      <t>wear</t>
    </r>
    <r>
      <rPr>
        <sz val="10"/>
        <rFont val="Noto Sans CJK SC"/>
        <family val="2"/>
      </rPr>
      <t xml:space="preserve">랑 </t>
    </r>
    <r>
      <rPr>
        <sz val="10"/>
        <rFont val="Arial"/>
        <family val="2"/>
        <charset val="1"/>
      </rPr>
      <t xml:space="preserve">wearing </t>
    </r>
    <r>
      <rPr>
        <sz val="10"/>
        <rFont val="Noto Sans CJK SC"/>
        <family val="2"/>
      </rPr>
      <t>차이가 뭐예요</t>
    </r>
    <r>
      <rPr>
        <sz val="10"/>
        <rFont val="Arial"/>
        <family val="2"/>
        <charset val="1"/>
      </rPr>
      <t xml:space="preserve">;She wear now </t>
    </r>
    <r>
      <rPr>
        <sz val="10"/>
        <rFont val="Noto Sans CJK SC"/>
        <family val="2"/>
      </rPr>
      <t>이거 왜 틀려요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지금 하는 중이라는 걸 어떻게 말해요</t>
    </r>
  </si>
  <si>
    <t>지금 입고 있는 중이라는 뜻은 be동사+wearing으로 말해요. wear만 쓰면 지금 하는 중이라는 뜻이 안 돼요.</t>
  </si>
  <si>
    <t>She is wearing a red dress.</t>
  </si>
  <si>
    <t>F-15</t>
  </si>
  <si>
    <t>like 다음에는 왜 동사에 -ing를 붙여요?</t>
  </si>
  <si>
    <r>
      <rPr>
        <sz val="10"/>
        <rFont val="Arial"/>
        <family val="2"/>
        <charset val="1"/>
      </rPr>
      <t xml:space="preserve">like swim </t>
    </r>
    <r>
      <rPr>
        <sz val="10"/>
        <rFont val="Noto Sans CJK SC"/>
        <family val="2"/>
      </rPr>
      <t>이거 왜 틀려요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좋아하는 걸 말할 때 동사 형태가 어떻게 돼요</t>
    </r>
    <r>
      <rPr>
        <sz val="10"/>
        <rFont val="Arial"/>
        <family val="2"/>
        <charset val="1"/>
      </rPr>
      <t xml:space="preserve">;like </t>
    </r>
    <r>
      <rPr>
        <sz val="10"/>
        <rFont val="Noto Sans CJK SC"/>
        <family val="2"/>
      </rPr>
      <t xml:space="preserve">뒤에 </t>
    </r>
    <r>
      <rPr>
        <sz val="10"/>
        <rFont val="Arial"/>
        <family val="2"/>
        <charset val="1"/>
      </rPr>
      <t>to</t>
    </r>
    <r>
      <rPr>
        <sz val="10"/>
        <rFont val="Noto Sans CJK SC"/>
        <family val="2"/>
      </rPr>
      <t>를 써도 돼요</t>
    </r>
    <r>
      <rPr>
        <sz val="10"/>
        <rFont val="Arial"/>
        <family val="2"/>
        <charset val="1"/>
      </rPr>
      <t>?</t>
    </r>
  </si>
  <si>
    <t>좋아하는 활동을 말할 때 like 뒤에는 동사-ing(동명사)를 써요. 동사원형만 쓰면 어색해요.</t>
  </si>
  <si>
    <t>F-16</t>
  </si>
  <si>
    <t>요일 이름은 왜 항상 대문자로 써요?</t>
  </si>
  <si>
    <r>
      <rPr>
        <sz val="10"/>
        <rFont val="Arial"/>
        <family val="2"/>
        <charset val="1"/>
      </rPr>
      <t xml:space="preserve">monday </t>
    </r>
    <r>
      <rPr>
        <sz val="10"/>
        <rFont val="Noto Sans CJK SC"/>
        <family val="2"/>
      </rPr>
      <t>이렇게 소문자로 쓰면 틀려요</t>
    </r>
    <r>
      <rPr>
        <sz val="10"/>
        <rFont val="Arial"/>
        <family val="2"/>
        <charset val="1"/>
      </rPr>
      <t>?;</t>
    </r>
    <r>
      <rPr>
        <sz val="10"/>
        <rFont val="Noto Sans CJK SC"/>
        <family val="2"/>
      </rPr>
      <t>요일 앞에 전치사는 뭐 써요</t>
    </r>
    <r>
      <rPr>
        <sz val="10"/>
        <rFont val="Arial"/>
        <family val="2"/>
        <charset val="1"/>
      </rPr>
      <t xml:space="preserve">;on Monday </t>
    </r>
    <r>
      <rPr>
        <sz val="10"/>
        <rFont val="Noto Sans CJK SC"/>
        <family val="2"/>
      </rPr>
      <t xml:space="preserve">왜 </t>
    </r>
    <r>
      <rPr>
        <sz val="10"/>
        <rFont val="Arial"/>
        <family val="2"/>
        <charset val="1"/>
      </rPr>
      <t>on</t>
    </r>
    <r>
      <rPr>
        <sz val="10"/>
        <rFont val="Noto Sans CJK SC"/>
        <family val="2"/>
      </rPr>
      <t>이에요</t>
    </r>
  </si>
  <si>
    <t>요일 이름(Monday, Tuesday...)은 항상 대문자로 시작하고, 앞에는 전치사 on을 써요.</t>
  </si>
  <si>
    <t>F-17</t>
  </si>
  <si>
    <t>장래희망 말할 때 want to be 다음에 왜 a/an이 필요해요?</t>
  </si>
  <si>
    <r>
      <rPr>
        <sz val="10"/>
        <rFont val="Arial"/>
        <family val="2"/>
        <charset val="1"/>
      </rPr>
      <t xml:space="preserve">want to be doctor </t>
    </r>
    <r>
      <rPr>
        <sz val="10"/>
        <rFont val="Noto Sans CJK SC"/>
        <family val="2"/>
      </rPr>
      <t>이거 왜 틀려요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직업 앞에 관사를 꼭 써야 해요</t>
    </r>
    <r>
      <rPr>
        <sz val="10"/>
        <rFont val="Arial"/>
        <family val="2"/>
        <charset val="1"/>
      </rPr>
      <t>?;become</t>
    </r>
    <r>
      <rPr>
        <sz val="10"/>
        <rFont val="Noto Sans CJK SC"/>
        <family val="2"/>
      </rPr>
      <t xml:space="preserve">이랑 </t>
    </r>
    <r>
      <rPr>
        <sz val="10"/>
        <rFont val="Arial"/>
        <family val="2"/>
        <charset val="1"/>
      </rPr>
      <t xml:space="preserve">want to be </t>
    </r>
    <r>
      <rPr>
        <sz val="10"/>
        <rFont val="Noto Sans CJK SC"/>
        <family val="2"/>
      </rPr>
      <t>뭐가 달라요</t>
    </r>
  </si>
  <si>
    <t>장래희망을 말할 때 want to be 뒤에는 a나 an과 직업 이름을 같이 써요. 관사를 빼면 안 돼요.</t>
  </si>
  <si>
    <t>I want to be a doctor.</t>
  </si>
  <si>
    <t>F-18</t>
  </si>
  <si>
    <t>in, on, under는 어떻게 구별해요?</t>
  </si>
  <si>
    <t>위치전치사가 뭐예요;in the box랑 on the box 뭐가 달라요;under는 언제 써요</t>
  </si>
  <si>
    <t>안에 있으면 in, 위에 있으면 on, 아래에 있으면 under를 써요. 위치가 다르면 전치사도 달라져요.</t>
  </si>
  <si>
    <t>The cat is in the box.</t>
  </si>
  <si>
    <t>F-19</t>
  </si>
  <si>
    <t>계절 앞에는 왜 in을 써요?</t>
  </si>
  <si>
    <r>
      <rPr>
        <sz val="10"/>
        <rFont val="Arial"/>
        <family val="2"/>
        <charset val="1"/>
      </rPr>
      <t xml:space="preserve">in spring </t>
    </r>
    <r>
      <rPr>
        <sz val="10"/>
        <rFont val="Noto Sans CJK SC"/>
        <family val="2"/>
      </rPr>
      <t xml:space="preserve">왜 </t>
    </r>
    <r>
      <rPr>
        <sz val="10"/>
        <rFont val="Arial"/>
        <family val="2"/>
        <charset val="1"/>
      </rPr>
      <t>in</t>
    </r>
    <r>
      <rPr>
        <sz val="10"/>
        <rFont val="Noto Sans CJK SC"/>
        <family val="2"/>
      </rPr>
      <t>이에요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 xml:space="preserve">계절 앞에 </t>
    </r>
    <r>
      <rPr>
        <sz val="10"/>
        <rFont val="Arial"/>
        <family val="2"/>
        <charset val="1"/>
      </rPr>
      <t>on</t>
    </r>
    <r>
      <rPr>
        <sz val="10"/>
        <rFont val="Noto Sans CJK SC"/>
        <family val="2"/>
      </rPr>
      <t xml:space="preserve">이나 </t>
    </r>
    <r>
      <rPr>
        <sz val="10"/>
        <rFont val="Arial"/>
        <family val="2"/>
        <charset val="1"/>
      </rPr>
      <t xml:space="preserve">at </t>
    </r>
    <r>
      <rPr>
        <sz val="10"/>
        <rFont val="Noto Sans CJK SC"/>
        <family val="2"/>
      </rPr>
      <t>쓰면 안 돼요</t>
    </r>
    <r>
      <rPr>
        <sz val="10"/>
        <rFont val="Arial"/>
        <family val="2"/>
        <charset val="1"/>
      </rPr>
      <t>?;</t>
    </r>
    <r>
      <rPr>
        <sz val="10"/>
        <rFont val="Noto Sans CJK SC"/>
        <family val="2"/>
      </rPr>
      <t xml:space="preserve">달 앞에도 </t>
    </r>
    <r>
      <rPr>
        <sz val="10"/>
        <rFont val="Arial"/>
        <family val="2"/>
        <charset val="1"/>
      </rPr>
      <t xml:space="preserve">in </t>
    </r>
    <r>
      <rPr>
        <sz val="10"/>
        <rFont val="Noto Sans CJK SC"/>
        <family val="2"/>
      </rPr>
      <t>써요</t>
    </r>
    <r>
      <rPr>
        <sz val="10"/>
        <rFont val="Arial"/>
        <family val="2"/>
        <charset val="1"/>
      </rPr>
      <t>?</t>
    </r>
  </si>
  <si>
    <t>계절이나 달(월) 앞에는 전치사 in을 써요. on이나 at을 쓰면 안 돼요.</t>
  </si>
  <si>
    <t>F-20</t>
  </si>
  <si>
    <t>farewell이 무슨 뜻이에요?</t>
  </si>
  <si>
    <r>
      <rPr>
        <sz val="10"/>
        <rFont val="Arial"/>
        <family val="2"/>
        <charset val="1"/>
      </rPr>
      <t>farewell</t>
    </r>
    <r>
      <rPr>
        <sz val="10"/>
        <rFont val="Noto Sans CJK SC"/>
        <family val="2"/>
      </rPr>
      <t>이 뭐예요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작별 인사를 영어로</t>
    </r>
    <r>
      <rPr>
        <sz val="10"/>
        <rFont val="Arial"/>
        <family val="2"/>
        <charset val="1"/>
      </rPr>
      <t>;goodbye</t>
    </r>
    <r>
      <rPr>
        <sz val="10"/>
        <rFont val="Noto Sans CJK SC"/>
        <family val="2"/>
      </rPr>
      <t xml:space="preserve">랑 </t>
    </r>
    <r>
      <rPr>
        <sz val="10"/>
        <rFont val="Arial"/>
        <family val="2"/>
        <charset val="1"/>
      </rPr>
      <t xml:space="preserve">farewell </t>
    </r>
    <r>
      <rPr>
        <sz val="10"/>
        <rFont val="Noto Sans CJK SC"/>
        <family val="2"/>
      </rPr>
      <t>차이</t>
    </r>
  </si>
  <si>
    <r>
      <rPr>
        <sz val="10"/>
        <rFont val="Arial"/>
        <family val="2"/>
        <charset val="1"/>
      </rPr>
      <t>farewell</t>
    </r>
    <r>
      <rPr>
        <sz val="10"/>
        <rFont val="Noto Sans CJK SC"/>
        <family val="2"/>
      </rPr>
      <t xml:space="preserve">은 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작별 인사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라는 뜻이에요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헤어질 때 하는 인사를 가리켜요</t>
    </r>
    <r>
      <rPr>
        <sz val="10"/>
        <rFont val="Arial"/>
        <family val="2"/>
        <charset val="1"/>
      </rPr>
      <t>.</t>
    </r>
  </si>
  <si>
    <t>F-21</t>
  </si>
  <si>
    <t>ancestor가 무슨 뜻이에요?</t>
  </si>
  <si>
    <r>
      <rPr>
        <sz val="10"/>
        <rFont val="Arial"/>
        <family val="2"/>
        <charset val="1"/>
      </rPr>
      <t>ancestor</t>
    </r>
    <r>
      <rPr>
        <sz val="10"/>
        <rFont val="Noto Sans CJK SC"/>
        <family val="2"/>
      </rPr>
      <t>가 뭐예요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조상을 영어로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할아버지의 할아버지는 영어로 뭐예요</t>
    </r>
  </si>
  <si>
    <r>
      <rPr>
        <sz val="10"/>
        <rFont val="Arial"/>
        <family val="2"/>
        <charset val="1"/>
      </rPr>
      <t>ancestor</t>
    </r>
    <r>
      <rPr>
        <sz val="10"/>
        <rFont val="Noto Sans CJK SC"/>
        <family val="2"/>
      </rPr>
      <t xml:space="preserve">는 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조상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이라는 뜻이에요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아주 오래전에 살았던 가족을 가리켜요</t>
    </r>
    <r>
      <rPr>
        <sz val="10"/>
        <rFont val="Arial"/>
        <family val="2"/>
        <charset val="1"/>
      </rPr>
      <t>.</t>
    </r>
  </si>
  <si>
    <t>F-22</t>
  </si>
  <si>
    <t>ecosystem이 무슨 뜻이에요?</t>
  </si>
  <si>
    <r>
      <rPr>
        <sz val="10"/>
        <rFont val="Arial"/>
        <family val="2"/>
        <charset val="1"/>
      </rPr>
      <t>ecosystem</t>
    </r>
    <r>
      <rPr>
        <sz val="10"/>
        <rFont val="Noto Sans CJK SC"/>
        <family val="2"/>
      </rPr>
      <t>이 뭐예요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생태계를 영어로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동물과 식물이 사는 환경을 영어로</t>
    </r>
  </si>
  <si>
    <r>
      <rPr>
        <sz val="10"/>
        <rFont val="Arial"/>
        <family val="2"/>
        <charset val="1"/>
      </rPr>
      <t>ecosystem</t>
    </r>
    <r>
      <rPr>
        <sz val="10"/>
        <rFont val="Noto Sans CJK SC"/>
        <family val="2"/>
      </rPr>
      <t xml:space="preserve">은 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생태계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라는 뜻이에요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동물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</rPr>
      <t>식물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</rPr>
      <t>환경이 서로 영향을 주고받는 것을 말해요</t>
    </r>
    <r>
      <rPr>
        <sz val="10"/>
        <rFont val="Arial"/>
        <family val="2"/>
        <charset val="1"/>
      </rPr>
      <t>.</t>
    </r>
  </si>
  <si>
    <t>F-23</t>
  </si>
  <si>
    <t>appetite가 무슨 뜻이에요?</t>
  </si>
  <si>
    <r>
      <rPr>
        <sz val="10"/>
        <rFont val="Arial"/>
        <family val="2"/>
        <charset val="1"/>
      </rPr>
      <t>appetite</t>
    </r>
    <r>
      <rPr>
        <sz val="10"/>
        <rFont val="Noto Sans CJK SC"/>
        <family val="2"/>
      </rPr>
      <t>가 뭐예요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식욕을 영어로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밥맛이 있다를 영어로</t>
    </r>
  </si>
  <si>
    <r>
      <rPr>
        <sz val="10"/>
        <rFont val="Arial"/>
        <family val="2"/>
        <charset val="1"/>
      </rPr>
      <t>appetite</t>
    </r>
    <r>
      <rPr>
        <sz val="10"/>
        <rFont val="Noto Sans CJK SC"/>
        <family val="2"/>
      </rPr>
      <t xml:space="preserve">는 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식욕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이라는 뜻이에요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음식을 먹고 싶은 마음을 가리켜요</t>
    </r>
    <r>
      <rPr>
        <sz val="10"/>
        <rFont val="Arial"/>
        <family val="2"/>
        <charset val="1"/>
      </rPr>
      <t>.</t>
    </r>
  </si>
  <si>
    <t>F-24</t>
  </si>
  <si>
    <t>endurance가 무슨 뜻이에요?</t>
  </si>
  <si>
    <r>
      <rPr>
        <sz val="10"/>
        <rFont val="Arial"/>
        <family val="2"/>
        <charset val="1"/>
      </rPr>
      <t>endurance</t>
    </r>
    <r>
      <rPr>
        <sz val="10"/>
        <rFont val="Noto Sans CJK SC"/>
        <family val="2"/>
      </rPr>
      <t>가 뭐예요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지구력을 영어로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오래 버티는 힘을 영어로</t>
    </r>
  </si>
  <si>
    <r>
      <rPr>
        <sz val="10"/>
        <rFont val="Arial"/>
        <family val="2"/>
        <charset val="1"/>
      </rPr>
      <t>endurance</t>
    </r>
    <r>
      <rPr>
        <sz val="10"/>
        <rFont val="Noto Sans CJK SC"/>
        <family val="2"/>
      </rPr>
      <t xml:space="preserve">는 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지구력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이라는 뜻이에요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힘들어도 오래 버티고 계속할 수 있는 힘을 가리켜요</t>
    </r>
    <r>
      <rPr>
        <sz val="10"/>
        <rFont val="Arial"/>
        <family val="2"/>
        <charset val="1"/>
      </rPr>
      <t>.</t>
    </r>
  </si>
  <si>
    <t>F-25</t>
  </si>
  <si>
    <t>leisure가 무슨 뜻이에요?</t>
  </si>
  <si>
    <r>
      <rPr>
        <sz val="10"/>
        <rFont val="Arial"/>
        <family val="2"/>
        <charset val="1"/>
      </rPr>
      <t>leisure</t>
    </r>
    <r>
      <rPr>
        <sz val="10"/>
        <rFont val="Noto Sans CJK SC"/>
        <family val="2"/>
      </rPr>
      <t>가 뭐예요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여가를 영어로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쉬는 시간을 영어로</t>
    </r>
  </si>
  <si>
    <r>
      <rPr>
        <sz val="10"/>
        <rFont val="Arial"/>
        <family val="2"/>
        <charset val="1"/>
      </rPr>
      <t>leisure</t>
    </r>
    <r>
      <rPr>
        <sz val="10"/>
        <rFont val="Noto Sans CJK SC"/>
        <family val="2"/>
      </rPr>
      <t xml:space="preserve">는 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여가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라는 뜻이에요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일이나 공부를 하지 않고 쉬거나 취미를 즐기는 시간을 가리켜요</t>
    </r>
    <r>
      <rPr>
        <sz val="10"/>
        <rFont val="Arial"/>
        <family val="2"/>
        <charset val="1"/>
      </rPr>
      <t>.</t>
    </r>
  </si>
  <si>
    <t>F-26</t>
  </si>
  <si>
    <t>commute가 무슨 뜻이에요?</t>
  </si>
  <si>
    <r>
      <rPr>
        <sz val="10"/>
        <rFont val="Arial"/>
        <family val="2"/>
        <charset val="1"/>
      </rPr>
      <t>commute</t>
    </r>
    <r>
      <rPr>
        <sz val="10"/>
        <rFont val="Noto Sans CJK SC"/>
        <family val="2"/>
      </rPr>
      <t>가 뭐예요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통근을 영어로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학교나 회사에 왔다갔다 하는 걸 영어로</t>
    </r>
  </si>
  <si>
    <r>
      <rPr>
        <sz val="10"/>
        <rFont val="Arial"/>
        <family val="2"/>
        <charset val="1"/>
      </rPr>
      <t>commute</t>
    </r>
    <r>
      <rPr>
        <sz val="10"/>
        <rFont val="Noto Sans CJK SC"/>
        <family val="2"/>
      </rPr>
      <t xml:space="preserve">는 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통근하다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라는 뜻이에요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집에서 학교나 회사까지 왔다갔다 다니는 것을 가리켜요</t>
    </r>
    <r>
      <rPr>
        <sz val="10"/>
        <rFont val="Arial"/>
        <family val="2"/>
        <charset val="1"/>
      </rPr>
      <t>.</t>
    </r>
  </si>
  <si>
    <t>F-27</t>
  </si>
  <si>
    <t>spacious가 무슨 뜻이에요?</t>
  </si>
  <si>
    <r>
      <rPr>
        <sz val="10"/>
        <rFont val="Arial"/>
        <family val="2"/>
        <charset val="1"/>
      </rPr>
      <t>spacious</t>
    </r>
    <r>
      <rPr>
        <sz val="10"/>
        <rFont val="Noto Sans CJK SC"/>
        <family val="2"/>
      </rPr>
      <t>가 뭐예요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넓다를 영어로</t>
    </r>
    <r>
      <rPr>
        <sz val="10"/>
        <rFont val="Arial"/>
        <family val="2"/>
        <charset val="1"/>
      </rPr>
      <t>;big</t>
    </r>
    <r>
      <rPr>
        <sz val="10"/>
        <rFont val="Noto Sans CJK SC"/>
        <family val="2"/>
      </rPr>
      <t xml:space="preserve">이랑 </t>
    </r>
    <r>
      <rPr>
        <sz val="10"/>
        <rFont val="Arial"/>
        <family val="2"/>
        <charset val="1"/>
      </rPr>
      <t xml:space="preserve">spacious </t>
    </r>
    <r>
      <rPr>
        <sz val="10"/>
        <rFont val="Noto Sans CJK SC"/>
        <family val="2"/>
      </rPr>
      <t>차이</t>
    </r>
  </si>
  <si>
    <r>
      <rPr>
        <sz val="10"/>
        <rFont val="Arial"/>
        <family val="2"/>
        <charset val="1"/>
      </rPr>
      <t>spacious</t>
    </r>
    <r>
      <rPr>
        <sz val="10"/>
        <rFont val="Noto Sans CJK SC"/>
        <family val="2"/>
      </rPr>
      <t xml:space="preserve">는 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넓은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이라는 뜻이에요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공간이 크고 넉넉하다는 걸 나타내요</t>
    </r>
    <r>
      <rPr>
        <sz val="10"/>
        <rFont val="Arial"/>
        <family val="2"/>
        <charset val="1"/>
      </rPr>
      <t>.</t>
    </r>
  </si>
  <si>
    <t>F-28</t>
  </si>
  <si>
    <t>much/some 쓰는 문장 더 보여주세요</t>
  </si>
  <si>
    <t>다른 예문 알려줘요;셀 수 없는 명사 문장 더;much 쓰는 문장 또 있어요?</t>
  </si>
  <si>
    <t>I have much rice. I want some water. I ate much bread. He drinks much milk.</t>
  </si>
  <si>
    <t>F-29</t>
  </si>
  <si>
    <t>like+동명사 문장 더 보여주세요</t>
  </si>
  <si>
    <t>다른 예문 알려줘요;like -ing 예문 더;좋아하는 것 말하는 문장 또</t>
  </si>
  <si>
    <t>I like swimming. She likes playing soccer. He likes drawing. They like singing.</t>
  </si>
  <si>
    <t>F-30</t>
  </si>
  <si>
    <t>by+교통수단 문장 더 보여주세요</t>
  </si>
  <si>
    <t>다른 예문 알려줘요;교통수단 예문 더;by bus 말고 다른 문장</t>
  </si>
  <si>
    <t>We go to school by car. She goes home by taxi. He travels by train. They go by subway.</t>
  </si>
  <si>
    <t>F-31</t>
  </si>
  <si>
    <t>감정형용사+전치사 문장 더 보여주세요</t>
  </si>
  <si>
    <t>다른 예문 알려줘요;proud of 같은 예문 더;걱정하다 표현 다른 예문</t>
  </si>
  <si>
    <t>She is proud of her son. He is worried about the exam. I am jealous of my friend.</t>
  </si>
  <si>
    <t>She is proud of you.</t>
  </si>
  <si>
    <t>F-33</t>
  </si>
  <si>
    <t>인사말 뒤에 쉼표는 왜 필요해요?</t>
  </si>
  <si>
    <r>
      <rPr>
        <sz val="10"/>
        <rFont val="Arial"/>
        <family val="2"/>
        <charset val="1"/>
      </rPr>
      <t xml:space="preserve">Hello Tom </t>
    </r>
    <r>
      <rPr>
        <sz val="10"/>
        <rFont val="Noto Sans CJK SC"/>
        <family val="2"/>
      </rPr>
      <t>이렇게 쓰면 안 돼요</t>
    </r>
    <r>
      <rPr>
        <sz val="10"/>
        <rFont val="Arial"/>
        <family val="2"/>
        <charset val="1"/>
      </rPr>
      <t>?;</t>
    </r>
    <r>
      <rPr>
        <sz val="10"/>
        <rFont val="Noto Sans CJK SC"/>
        <family val="2"/>
      </rPr>
      <t>쉼표를 빼도 돼요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느낌표는 꼭 써야 해요</t>
    </r>
  </si>
  <si>
    <t>부르는 사람 이름 앞에는 쉼표(,)를 쓰고 인사말 끝에는 느낌표(!)를 써요. Hello, Tom!처럼요.</t>
  </si>
  <si>
    <t>F-34</t>
  </si>
  <si>
    <t>여러 명 소개할 땐 뭐라고 해요?</t>
  </si>
  <si>
    <r>
      <rPr>
        <sz val="10"/>
        <rFont val="Arial"/>
        <family val="2"/>
        <charset val="1"/>
      </rPr>
      <t xml:space="preserve">These are </t>
    </r>
    <r>
      <rPr>
        <sz val="10"/>
        <rFont val="Noto Sans CJK SC"/>
        <family val="2"/>
      </rPr>
      <t>언제 써요</t>
    </r>
    <r>
      <rPr>
        <sz val="10"/>
        <rFont val="Arial"/>
        <family val="2"/>
        <charset val="1"/>
      </rPr>
      <t>;This is</t>
    </r>
    <r>
      <rPr>
        <sz val="10"/>
        <rFont val="Noto Sans CJK SC"/>
        <family val="2"/>
      </rPr>
      <t>랑 뭐가 달라요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가족 여러 명 소개하기</t>
    </r>
  </si>
  <si>
    <t>여러 명이나 여러 개를 소개할 땐 These are를 써요. This is는 한 명일 때만 써요.</t>
  </si>
  <si>
    <t>These are my grandparents.</t>
  </si>
  <si>
    <t>F-35</t>
  </si>
  <si>
    <t>영어 문장 순서가 헷갈려요</t>
  </si>
  <si>
    <t>주어 동사 목적어가 뭐예요;I a book read 왜 틀려요;문장 순서 어떻게 만들어요</t>
  </si>
  <si>
    <t>영어는 주어+동사+목적어 순서로 써요. 목적어를 동사 앞에 쓰면 안 돼요.</t>
  </si>
  <si>
    <t>I read a book.</t>
  </si>
  <si>
    <t>F-36</t>
  </si>
  <si>
    <t>This랑 These 어떻게 골라요?</t>
  </si>
  <si>
    <r>
      <rPr>
        <sz val="10"/>
        <rFont val="Arial"/>
        <family val="2"/>
        <charset val="1"/>
      </rPr>
      <t xml:space="preserve">This lion These lions </t>
    </r>
    <r>
      <rPr>
        <sz val="10"/>
        <rFont val="Noto Sans CJK SC"/>
        <family val="2"/>
      </rPr>
      <t>차이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하나면 뭐 써요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여러 개면 뭐 써요</t>
    </r>
  </si>
  <si>
    <t>하나면 This, 여러 개면 These를 쓰고 명사도 복수형으로 맞춰요.</t>
  </si>
  <si>
    <t>These lions are big.</t>
  </si>
  <si>
    <t>F-37</t>
  </si>
  <si>
    <t>원하는 거 말할 때 to 붙여도 돼요?</t>
  </si>
  <si>
    <r>
      <rPr>
        <sz val="10"/>
        <rFont val="Arial"/>
        <family val="2"/>
        <charset val="1"/>
      </rPr>
      <t xml:space="preserve">I want to a pizza </t>
    </r>
    <r>
      <rPr>
        <sz val="10"/>
        <rFont val="Noto Sans CJK SC"/>
        <family val="2"/>
      </rPr>
      <t>왜 틀려요</t>
    </r>
    <r>
      <rPr>
        <sz val="10"/>
        <rFont val="Arial"/>
        <family val="2"/>
        <charset val="1"/>
      </rPr>
      <t xml:space="preserve">;want </t>
    </r>
    <r>
      <rPr>
        <sz val="10"/>
        <rFont val="Noto Sans CJK SC"/>
        <family val="2"/>
      </rPr>
      <t>다음에 뭐가 와요</t>
    </r>
    <r>
      <rPr>
        <sz val="10"/>
        <rFont val="Arial"/>
        <family val="2"/>
        <charset val="1"/>
      </rPr>
      <t>;want to be</t>
    </r>
    <r>
      <rPr>
        <sz val="10"/>
        <rFont val="Noto Sans CJK SC"/>
        <family val="2"/>
      </rPr>
      <t>랑 뭐가 달라요</t>
    </r>
  </si>
  <si>
    <t>원하는 것(명사)을 말할 때 want 뒤에는 to 없이 바로 명사를 써요.</t>
  </si>
  <si>
    <t>F-38</t>
  </si>
  <si>
    <t>숫자 뒤에는 왜 -s를 붙여요?</t>
  </si>
  <si>
    <r>
      <rPr>
        <sz val="10"/>
        <rFont val="Arial"/>
        <family val="2"/>
        <charset val="1"/>
      </rPr>
      <t xml:space="preserve">two apple </t>
    </r>
    <r>
      <rPr>
        <sz val="10"/>
        <rFont val="Noto Sans CJK SC"/>
        <family val="2"/>
      </rPr>
      <t>왜 틀려요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복수형 언제 만들어요</t>
    </r>
    <r>
      <rPr>
        <sz val="10"/>
        <rFont val="Arial"/>
        <family val="2"/>
        <charset val="1"/>
      </rPr>
      <t xml:space="preserve">;one </t>
    </r>
    <r>
      <rPr>
        <sz val="10"/>
        <rFont val="Noto Sans CJK SC"/>
        <family val="2"/>
      </rPr>
      <t xml:space="preserve">뒤에도 </t>
    </r>
    <r>
      <rPr>
        <sz val="10"/>
        <rFont val="Arial"/>
        <family val="2"/>
        <charset val="1"/>
      </rPr>
      <t xml:space="preserve">-s </t>
    </r>
    <r>
      <rPr>
        <sz val="10"/>
        <rFont val="Noto Sans CJK SC"/>
        <family val="2"/>
      </rPr>
      <t>붙여요</t>
    </r>
    <r>
      <rPr>
        <sz val="10"/>
        <rFont val="Arial"/>
        <family val="2"/>
        <charset val="1"/>
      </rPr>
      <t>?</t>
    </r>
  </si>
  <si>
    <t>둘 이상의 숫자 뒤에는 명사를 복수형(-s)으로 써요. one 뒤에는 단수를 그대로 써요.</t>
  </si>
  <si>
    <t>I have two apples.</t>
  </si>
  <si>
    <t>F-39</t>
  </si>
  <si>
    <t>첫 번째, 두 번째 앞에 the 왜 붙여요?</t>
  </si>
  <si>
    <r>
      <rPr>
        <sz val="10"/>
        <rFont val="Arial"/>
        <family val="2"/>
        <charset val="1"/>
      </rPr>
      <t xml:space="preserve">the first </t>
    </r>
    <r>
      <rPr>
        <sz val="10"/>
        <rFont val="Noto Sans CJK SC"/>
        <family val="2"/>
      </rPr>
      <t xml:space="preserve">왜 </t>
    </r>
    <r>
      <rPr>
        <sz val="10"/>
        <rFont val="Arial"/>
        <family val="2"/>
        <charset val="1"/>
      </rPr>
      <t>the</t>
    </r>
    <r>
      <rPr>
        <sz val="10"/>
        <rFont val="Noto Sans CJK SC"/>
        <family val="2"/>
      </rPr>
      <t>가 있어요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서수가 뭐예요</t>
    </r>
    <r>
      <rPr>
        <sz val="10"/>
        <rFont val="Arial"/>
        <family val="2"/>
        <charset val="1"/>
      </rPr>
      <t xml:space="preserve">;the </t>
    </r>
    <r>
      <rPr>
        <sz val="10"/>
        <rFont val="Noto Sans CJK SC"/>
        <family val="2"/>
      </rPr>
      <t>빼도 돼요</t>
    </r>
    <r>
      <rPr>
        <sz val="10"/>
        <rFont val="Arial"/>
        <family val="2"/>
        <charset val="1"/>
      </rPr>
      <t>?</t>
    </r>
  </si>
  <si>
    <t>순서를 말하는 first, second 앞에는 항상 the를 붙여요.</t>
  </si>
  <si>
    <t>F-40</t>
  </si>
  <si>
    <t>will 다음엔 뭐가 와요?</t>
  </si>
  <si>
    <r>
      <rPr>
        <sz val="10"/>
        <rFont val="Arial"/>
        <family val="2"/>
        <charset val="1"/>
      </rPr>
      <t xml:space="preserve">will rains </t>
    </r>
    <r>
      <rPr>
        <sz val="10"/>
        <rFont val="Noto Sans CJK SC"/>
        <family val="2"/>
      </rPr>
      <t>왜 틀려요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미래 말할 때 동사 형태</t>
    </r>
    <r>
      <rPr>
        <sz val="10"/>
        <rFont val="Arial"/>
        <family val="2"/>
        <charset val="1"/>
      </rPr>
      <t xml:space="preserve">;will </t>
    </r>
    <r>
      <rPr>
        <sz val="10"/>
        <rFont val="Noto Sans CJK SC"/>
        <family val="2"/>
      </rPr>
      <t xml:space="preserve">뒤에 </t>
    </r>
    <r>
      <rPr>
        <sz val="10"/>
        <rFont val="Arial"/>
        <family val="2"/>
        <charset val="1"/>
      </rPr>
      <t xml:space="preserve">-ing </t>
    </r>
    <r>
      <rPr>
        <sz val="10"/>
        <rFont val="Noto Sans CJK SC"/>
        <family val="2"/>
      </rPr>
      <t>써도 돼요</t>
    </r>
    <r>
      <rPr>
        <sz val="10"/>
        <rFont val="Arial"/>
        <family val="2"/>
        <charset val="1"/>
      </rPr>
      <t>?</t>
    </r>
  </si>
  <si>
    <t>앞으로의 일을 말하는 will 뒤에는 항상 동사원형을 그대로 써요.</t>
  </si>
  <si>
    <t>It will rain tomorrow.</t>
  </si>
  <si>
    <t>F-41</t>
  </si>
  <si>
    <t>내 몸을 말할 때 my를 꼭 써야 해요?</t>
  </si>
  <si>
    <r>
      <rPr>
        <sz val="10"/>
        <rFont val="Arial"/>
        <family val="2"/>
        <charset val="1"/>
      </rPr>
      <t xml:space="preserve">I hurt knee </t>
    </r>
    <r>
      <rPr>
        <sz val="10"/>
        <rFont val="Noto Sans CJK SC"/>
        <family val="2"/>
      </rPr>
      <t>왜 틀려요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신체부위 앞에 뭐가 필요해요</t>
    </r>
    <r>
      <rPr>
        <sz val="10"/>
        <rFont val="Arial"/>
        <family val="2"/>
        <charset val="1"/>
      </rPr>
      <t xml:space="preserve">;his her </t>
    </r>
    <r>
      <rPr>
        <sz val="10"/>
        <rFont val="Noto Sans CJK SC"/>
        <family val="2"/>
      </rPr>
      <t>언제 써요</t>
    </r>
  </si>
  <si>
    <t>내 몸의 일부를 말할 때는 my, his, her 같은 소유격을 신체부위 앞에 꼭 써요.</t>
  </si>
  <si>
    <t>I hurt my knee.</t>
  </si>
  <si>
    <t>F-42</t>
  </si>
  <si>
    <t>enjoy 다음에는 뭐가 와요?</t>
  </si>
  <si>
    <r>
      <rPr>
        <sz val="10"/>
        <rFont val="Arial"/>
        <family val="2"/>
        <charset val="1"/>
      </rPr>
      <t xml:space="preserve">enjoy draw </t>
    </r>
    <r>
      <rPr>
        <sz val="10"/>
        <rFont val="Noto Sans CJK SC"/>
        <family val="2"/>
      </rPr>
      <t>왜 틀려요</t>
    </r>
    <r>
      <rPr>
        <sz val="10"/>
        <rFont val="Arial"/>
        <family val="2"/>
        <charset val="1"/>
      </rPr>
      <t xml:space="preserve">;enjoy to draw </t>
    </r>
    <r>
      <rPr>
        <sz val="10"/>
        <rFont val="Noto Sans CJK SC"/>
        <family val="2"/>
      </rPr>
      <t>써도 돼요</t>
    </r>
    <r>
      <rPr>
        <sz val="10"/>
        <rFont val="Arial"/>
        <family val="2"/>
        <charset val="1"/>
      </rPr>
      <t>?;</t>
    </r>
    <r>
      <rPr>
        <sz val="10"/>
        <rFont val="Noto Sans CJK SC"/>
        <family val="2"/>
      </rPr>
      <t>즐기는 것 말할 때 동사 형태</t>
    </r>
  </si>
  <si>
    <t>즐기는 활동을 말할 때 enjoy 뒤에는 반드시 동사-ing를 써요.</t>
  </si>
  <si>
    <t>F-43</t>
  </si>
  <si>
    <t>always는 어디에 써요?</t>
  </si>
  <si>
    <t>빈도부사가 뭐예요;always 문장 끝에 써도 돼요?;usually 위치는 어디예요</t>
  </si>
  <si>
    <r>
      <rPr>
        <sz val="10"/>
        <rFont val="Arial"/>
        <family val="2"/>
        <charset val="1"/>
      </rPr>
      <t xml:space="preserve">always, usually </t>
    </r>
    <r>
      <rPr>
        <sz val="10"/>
        <rFont val="Noto Sans CJK SC"/>
        <family val="2"/>
      </rPr>
      <t>같은 빈도부사는 일반동사 앞</t>
    </r>
    <r>
      <rPr>
        <sz val="10"/>
        <rFont val="Arial"/>
        <family val="2"/>
        <charset val="1"/>
      </rPr>
      <t>, be</t>
    </r>
    <r>
      <rPr>
        <sz val="10"/>
        <rFont val="Noto Sans CJK SC"/>
        <family val="2"/>
      </rPr>
      <t>동사 뒤에 와요</t>
    </r>
    <r>
      <rPr>
        <sz val="10"/>
        <rFont val="Arial"/>
        <family val="2"/>
        <charset val="1"/>
      </rPr>
      <t>.</t>
    </r>
  </si>
  <si>
    <t>She always goes to school.</t>
  </si>
  <si>
    <t>F-44</t>
  </si>
  <si>
    <t>장소 갈 때 the를 꼭 써요?</t>
  </si>
  <si>
    <r>
      <rPr>
        <sz val="10"/>
        <rFont val="Arial"/>
        <family val="2"/>
        <charset val="1"/>
      </rPr>
      <t xml:space="preserve">go to park </t>
    </r>
    <r>
      <rPr>
        <sz val="10"/>
        <rFont val="Noto Sans CJK SC"/>
        <family val="2"/>
      </rPr>
      <t>왜 틀려요</t>
    </r>
    <r>
      <rPr>
        <sz val="10"/>
        <rFont val="Arial"/>
        <family val="2"/>
        <charset val="1"/>
      </rPr>
      <t xml:space="preserve">;the </t>
    </r>
    <r>
      <rPr>
        <sz val="10"/>
        <rFont val="Noto Sans CJK SC"/>
        <family val="2"/>
      </rPr>
      <t>빼면 안 돼요</t>
    </r>
    <r>
      <rPr>
        <sz val="10"/>
        <rFont val="Arial"/>
        <family val="2"/>
        <charset val="1"/>
      </rPr>
      <t>?;</t>
    </r>
    <r>
      <rPr>
        <sz val="10"/>
        <rFont val="Noto Sans CJK SC"/>
        <family val="2"/>
      </rPr>
      <t>특정 장소는 어떻게 말해요</t>
    </r>
  </si>
  <si>
    <t>특정한 장소에 갈 때는 go to 뒤에 the를 붙여요.</t>
  </si>
  <si>
    <t>F-45</t>
  </si>
  <si>
    <t>직업 말할 때 a는 왜 필요해요?</t>
  </si>
  <si>
    <r>
      <rPr>
        <sz val="10"/>
        <rFont val="Arial"/>
        <family val="2"/>
        <charset val="1"/>
      </rPr>
      <t xml:space="preserve">My dad is firefighter </t>
    </r>
    <r>
      <rPr>
        <sz val="10"/>
        <rFont val="Noto Sans CJK SC"/>
        <family val="2"/>
      </rPr>
      <t>왜 틀려요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직업 앞에 관사 빼도 돼요</t>
    </r>
    <r>
      <rPr>
        <sz val="10"/>
        <rFont val="Arial"/>
        <family val="2"/>
        <charset val="1"/>
      </rPr>
      <t xml:space="preserve">?;a/an </t>
    </r>
    <r>
      <rPr>
        <sz val="10"/>
        <rFont val="Noto Sans CJK SC"/>
        <family val="2"/>
      </rPr>
      <t>어떻게 골라요</t>
    </r>
  </si>
  <si>
    <t>직업을 소개할 때 be동사 뒤에는 a나 an과 직업 이름을 같이 써요.</t>
  </si>
  <si>
    <t>My dad is a firefighter.</t>
  </si>
  <si>
    <t>F-46</t>
  </si>
  <si>
    <t>too는 어떻게 써요?</t>
  </si>
  <si>
    <r>
      <rPr>
        <sz val="10"/>
        <rFont val="Arial"/>
        <family val="2"/>
        <charset val="1"/>
      </rPr>
      <t>too</t>
    </r>
    <r>
      <rPr>
        <sz val="10"/>
        <rFont val="Noto Sans CJK SC"/>
        <family val="2"/>
      </rPr>
      <t xml:space="preserve">와 </t>
    </r>
    <r>
      <rPr>
        <sz val="10"/>
        <rFont val="Arial"/>
        <family val="2"/>
        <charset val="1"/>
      </rPr>
      <t xml:space="preserve">very </t>
    </r>
    <r>
      <rPr>
        <sz val="10"/>
        <rFont val="Noto Sans CJK SC"/>
        <family val="2"/>
      </rPr>
      <t>차이가 뭐예요</t>
    </r>
    <r>
      <rPr>
        <sz val="10"/>
        <rFont val="Arial"/>
        <family val="2"/>
        <charset val="1"/>
      </rPr>
      <t xml:space="preserve">;very too </t>
    </r>
    <r>
      <rPr>
        <sz val="10"/>
        <rFont val="Noto Sans CJK SC"/>
        <family val="2"/>
      </rPr>
      <t>같이 써도 돼요</t>
    </r>
    <r>
      <rPr>
        <sz val="10"/>
        <rFont val="Arial"/>
        <family val="2"/>
        <charset val="1"/>
      </rPr>
      <t>?;</t>
    </r>
    <r>
      <rPr>
        <sz val="10"/>
        <rFont val="Noto Sans CJK SC"/>
        <family val="2"/>
      </rPr>
      <t>정도가 지나칠 때 뭐라고 해요</t>
    </r>
  </si>
  <si>
    <t>정도가 지나칠 때 형용사 앞에 too를 써요. very too처럼 같이 쓰면 안 돼요.</t>
  </si>
  <si>
    <t>I am too tired to walk.</t>
  </si>
  <si>
    <t>F-47</t>
  </si>
  <si>
    <t>가격 물을 때 much예요 many예요?</t>
  </si>
  <si>
    <r>
      <rPr>
        <sz val="10"/>
        <rFont val="Arial"/>
        <family val="2"/>
        <charset val="1"/>
      </rPr>
      <t xml:space="preserve">How much How many </t>
    </r>
    <r>
      <rPr>
        <sz val="10"/>
        <rFont val="Noto Sans CJK SC"/>
        <family val="2"/>
      </rPr>
      <t>차이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가격 물어볼 때 뭐 써요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개수 물어볼 때 뭐 써요</t>
    </r>
  </si>
  <si>
    <t>가격을 물을 때는 How much, 개수를 물을 때는 How many를 써요.</t>
  </si>
  <si>
    <t>F-48</t>
  </si>
  <si>
    <t>복수형은 언제 만들어요?</t>
  </si>
  <si>
    <t>명사 복수형이 뭐예요;-s는 언제 붙여요;two cat 왜 틀려요</t>
  </si>
  <si>
    <t>물건이 두 개 이상이면 명사 끝에 -s를 붙여서 복수형을 만들어요.</t>
  </si>
  <si>
    <t>I have two cats.</t>
  </si>
  <si>
    <t>F-49</t>
  </si>
  <si>
    <t>지금 하는 중이라는 걸 어떻게 말해요?</t>
  </si>
  <si>
    <t>현재진행형이 뭐예요;be동사+ing가 뭐예요;I reading 왜 틀려요</t>
  </si>
  <si>
    <t>지금 하고 있는 일은 be동사(am/is/are)와 동사-ing를 같이 써서 말해요.</t>
  </si>
  <si>
    <t>I am reading a book.</t>
  </si>
  <si>
    <t>F-50</t>
  </si>
  <si>
    <t>am, is, are는 어떻게 구별해요?</t>
  </si>
  <si>
    <r>
      <rPr>
        <sz val="10"/>
        <rFont val="Arial"/>
        <family val="2"/>
        <charset val="1"/>
      </rPr>
      <t xml:space="preserve">I am you are </t>
    </r>
    <r>
      <rPr>
        <sz val="10"/>
        <rFont val="Noto Sans CJK SC"/>
        <family val="2"/>
      </rPr>
      <t>왜 달라요</t>
    </r>
    <r>
      <rPr>
        <sz val="10"/>
        <rFont val="Arial"/>
        <family val="2"/>
        <charset val="1"/>
      </rPr>
      <t>;be</t>
    </r>
    <r>
      <rPr>
        <sz val="10"/>
        <rFont val="Noto Sans CJK SC"/>
        <family val="2"/>
      </rPr>
      <t>동사일치가 뭐예요</t>
    </r>
    <r>
      <rPr>
        <sz val="10"/>
        <rFont val="Arial"/>
        <family val="2"/>
        <charset val="1"/>
      </rPr>
      <t>;he</t>
    </r>
    <r>
      <rPr>
        <sz val="10"/>
        <rFont val="Noto Sans CJK SC"/>
        <family val="2"/>
      </rPr>
      <t xml:space="preserve">는 왜 </t>
    </r>
    <r>
      <rPr>
        <sz val="10"/>
        <rFont val="Arial"/>
        <family val="2"/>
        <charset val="1"/>
      </rPr>
      <t>is</t>
    </r>
    <r>
      <rPr>
        <sz val="10"/>
        <rFont val="Noto Sans CJK SC"/>
        <family val="2"/>
      </rPr>
      <t>예요</t>
    </r>
  </si>
  <si>
    <t>주어에 따라 be동사가 달라요. I는 am, you/we/they는 are, he/she/it은 is를 써요.</t>
  </si>
  <si>
    <t>He is my friend.</t>
  </si>
  <si>
    <t>F-51</t>
  </si>
  <si>
    <t>과거의 be동사는 뭐예요?</t>
  </si>
  <si>
    <r>
      <rPr>
        <sz val="10"/>
        <rFont val="Arial"/>
        <family val="2"/>
        <charset val="1"/>
      </rPr>
      <t>was were</t>
    </r>
    <r>
      <rPr>
        <sz val="10"/>
        <rFont val="Noto Sans CJK SC"/>
        <family val="2"/>
      </rPr>
      <t>가 뭐예요</t>
    </r>
    <r>
      <rPr>
        <sz val="10"/>
        <rFont val="Arial"/>
        <family val="2"/>
        <charset val="1"/>
      </rPr>
      <t xml:space="preserve">;am is </t>
    </r>
    <r>
      <rPr>
        <sz val="10"/>
        <rFont val="Noto Sans CJK SC"/>
        <family val="2"/>
      </rPr>
      <t>과거형이 뭐예요</t>
    </r>
    <r>
      <rPr>
        <sz val="10"/>
        <rFont val="Arial"/>
        <family val="2"/>
        <charset val="1"/>
      </rPr>
      <t xml:space="preserve">;I am happy yesterday </t>
    </r>
    <r>
      <rPr>
        <sz val="10"/>
        <rFont val="Noto Sans CJK SC"/>
        <family val="2"/>
      </rPr>
      <t>왜 틀려요</t>
    </r>
  </si>
  <si>
    <t>과거를 말할 때 am/is는 was로, are는 were로 바뀌어요.</t>
  </si>
  <si>
    <t>I was happy yesterday.</t>
  </si>
  <si>
    <t>F-52</t>
  </si>
  <si>
    <t>greeting이 무슨 뜻이에요?</t>
  </si>
  <si>
    <r>
      <rPr>
        <sz val="10"/>
        <rFont val="Arial"/>
        <family val="2"/>
        <charset val="1"/>
      </rPr>
      <t>greeting</t>
    </r>
    <r>
      <rPr>
        <sz val="10"/>
        <rFont val="Noto Sans CJK SC"/>
        <family val="2"/>
      </rPr>
      <t>이 뭐예요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인사를 영어로</t>
    </r>
    <r>
      <rPr>
        <sz val="10"/>
        <rFont val="Arial"/>
        <family val="2"/>
        <charset val="1"/>
      </rPr>
      <t>;hello</t>
    </r>
    <r>
      <rPr>
        <sz val="10"/>
        <rFont val="Noto Sans CJK SC"/>
        <family val="2"/>
      </rPr>
      <t xml:space="preserve">는 </t>
    </r>
    <r>
      <rPr>
        <sz val="10"/>
        <rFont val="Arial"/>
        <family val="2"/>
        <charset val="1"/>
      </rPr>
      <t>greeting</t>
    </r>
    <r>
      <rPr>
        <sz val="10"/>
        <rFont val="Noto Sans CJK SC"/>
        <family val="2"/>
      </rPr>
      <t>이에요</t>
    </r>
    <r>
      <rPr>
        <sz val="10"/>
        <rFont val="Arial"/>
        <family val="2"/>
        <charset val="1"/>
      </rPr>
      <t>?</t>
    </r>
  </si>
  <si>
    <r>
      <rPr>
        <sz val="10"/>
        <rFont val="Arial"/>
        <family val="2"/>
        <charset val="1"/>
      </rPr>
      <t>greeting</t>
    </r>
    <r>
      <rPr>
        <sz val="10"/>
        <rFont val="Noto Sans CJK SC"/>
        <family val="2"/>
      </rPr>
      <t xml:space="preserve">은 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인사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라는 뜻이에요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만나거나 헤어질 때 하는 말을 가리켜요</t>
    </r>
    <r>
      <rPr>
        <sz val="10"/>
        <rFont val="Arial"/>
        <family val="2"/>
        <charset val="1"/>
      </rPr>
      <t>.</t>
    </r>
  </si>
  <si>
    <t>F-53</t>
  </si>
  <si>
    <t>sibling이 무슨 뜻이에요?</t>
  </si>
  <si>
    <r>
      <rPr>
        <sz val="10"/>
        <rFont val="Arial"/>
        <family val="2"/>
        <charset val="1"/>
      </rPr>
      <t>sibling</t>
    </r>
    <r>
      <rPr>
        <sz val="10"/>
        <rFont val="Noto Sans CJK SC"/>
        <family val="2"/>
      </rPr>
      <t>이 뭐예요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형제자매를 영어로</t>
    </r>
    <r>
      <rPr>
        <sz val="10"/>
        <rFont val="Arial"/>
        <family val="2"/>
        <charset val="1"/>
      </rPr>
      <t>;brother sister</t>
    </r>
    <r>
      <rPr>
        <sz val="10"/>
        <rFont val="Noto Sans CJK SC"/>
        <family val="2"/>
      </rPr>
      <t>를 한 단어로</t>
    </r>
  </si>
  <si>
    <r>
      <rPr>
        <sz val="10"/>
        <rFont val="Arial"/>
        <family val="2"/>
        <charset val="1"/>
      </rPr>
      <t>sibling</t>
    </r>
    <r>
      <rPr>
        <sz val="10"/>
        <rFont val="Noto Sans CJK SC"/>
        <family val="2"/>
      </rPr>
      <t xml:space="preserve">은 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형제자매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라는 뜻이에요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오빠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</rPr>
      <t>언니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</rPr>
      <t>동생을 모두 가리킬 수 있어요</t>
    </r>
    <r>
      <rPr>
        <sz val="10"/>
        <rFont val="Arial"/>
        <family val="2"/>
        <charset val="1"/>
      </rPr>
      <t>.</t>
    </r>
  </si>
  <si>
    <t>F-54</t>
  </si>
  <si>
    <t>habitat이 무슨 뜻이에요?</t>
  </si>
  <si>
    <r>
      <rPr>
        <sz val="10"/>
        <rFont val="Arial"/>
        <family val="2"/>
        <charset val="1"/>
      </rPr>
      <t>habitat</t>
    </r>
    <r>
      <rPr>
        <sz val="10"/>
        <rFont val="Noto Sans CJK SC"/>
        <family val="2"/>
      </rPr>
      <t>이 뭐예요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서식지를 영어로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동물이 사는 곳을 영어로</t>
    </r>
  </si>
  <si>
    <r>
      <rPr>
        <sz val="10"/>
        <rFont val="Arial"/>
        <family val="2"/>
        <charset val="1"/>
      </rPr>
      <t>habitat</t>
    </r>
    <r>
      <rPr>
        <sz val="10"/>
        <rFont val="Noto Sans CJK SC"/>
        <family val="2"/>
      </rPr>
      <t xml:space="preserve">은 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서식지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라는 뜻이에요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동물이나 식물이 사는 자연 환경을 가리켜요</t>
    </r>
    <r>
      <rPr>
        <sz val="10"/>
        <rFont val="Arial"/>
        <family val="2"/>
        <charset val="1"/>
      </rPr>
      <t>.</t>
    </r>
  </si>
  <si>
    <t>F-55</t>
  </si>
  <si>
    <t>nutrition이 무슨 뜻이에요?</t>
  </si>
  <si>
    <r>
      <rPr>
        <sz val="10"/>
        <rFont val="Arial"/>
        <family val="2"/>
        <charset val="1"/>
      </rPr>
      <t>nutrition</t>
    </r>
    <r>
      <rPr>
        <sz val="10"/>
        <rFont val="Noto Sans CJK SC"/>
        <family val="2"/>
      </rPr>
      <t>이 뭐예요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영양을 영어로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건강한 음식 관련 단어</t>
    </r>
  </si>
  <si>
    <r>
      <rPr>
        <sz val="10"/>
        <rFont val="Arial"/>
        <family val="2"/>
        <charset val="1"/>
      </rPr>
      <t>nutrition</t>
    </r>
    <r>
      <rPr>
        <sz val="10"/>
        <rFont val="Noto Sans CJK SC"/>
        <family val="2"/>
      </rPr>
      <t xml:space="preserve">은 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영양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이라는 뜻이에요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몸에 필요한 영양분을 가리켜요</t>
    </r>
    <r>
      <rPr>
        <sz val="10"/>
        <rFont val="Arial"/>
        <family val="2"/>
        <charset val="1"/>
      </rPr>
      <t>.</t>
    </r>
  </si>
  <si>
    <t>F-56</t>
  </si>
  <si>
    <t>tone이 무슨 뜻이에요?</t>
  </si>
  <si>
    <r>
      <rPr>
        <sz val="10"/>
        <rFont val="Arial"/>
        <family val="2"/>
        <charset val="1"/>
      </rPr>
      <t>tone</t>
    </r>
    <r>
      <rPr>
        <sz val="10"/>
        <rFont val="Noto Sans CJK SC"/>
        <family val="2"/>
      </rPr>
      <t>이 뭐예요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색조를 영어로</t>
    </r>
    <r>
      <rPr>
        <sz val="10"/>
        <rFont val="Arial"/>
        <family val="2"/>
        <charset val="1"/>
      </rPr>
      <t>;shade</t>
    </r>
    <r>
      <rPr>
        <sz val="10"/>
        <rFont val="Noto Sans CJK SC"/>
        <family val="2"/>
      </rPr>
      <t xml:space="preserve">랑 </t>
    </r>
    <r>
      <rPr>
        <sz val="10"/>
        <rFont val="Arial"/>
        <family val="2"/>
        <charset val="1"/>
      </rPr>
      <t xml:space="preserve">tone </t>
    </r>
    <r>
      <rPr>
        <sz val="10"/>
        <rFont val="Noto Sans CJK SC"/>
        <family val="2"/>
      </rPr>
      <t>차이</t>
    </r>
  </si>
  <si>
    <r>
      <rPr>
        <sz val="10"/>
        <rFont val="Arial"/>
        <family val="2"/>
        <charset val="1"/>
      </rPr>
      <t>tone</t>
    </r>
    <r>
      <rPr>
        <sz val="10"/>
        <rFont val="Noto Sans CJK SC"/>
        <family val="2"/>
      </rPr>
      <t xml:space="preserve">은 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색조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라는 뜻이에요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색깔의 밝고 어두운 정도를 가리켜요</t>
    </r>
    <r>
      <rPr>
        <sz val="10"/>
        <rFont val="Arial"/>
        <family val="2"/>
        <charset val="1"/>
      </rPr>
      <t>.</t>
    </r>
  </si>
  <si>
    <t>F-57</t>
  </si>
  <si>
    <t>dozen이 무슨 뜻이에요?</t>
  </si>
  <si>
    <r>
      <rPr>
        <sz val="10"/>
        <rFont val="Arial"/>
        <family val="2"/>
        <charset val="1"/>
      </rPr>
      <t>dozen</t>
    </r>
    <r>
      <rPr>
        <sz val="10"/>
        <rFont val="Noto Sans CJK SC"/>
        <family val="2"/>
      </rPr>
      <t>이 뭐예요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한 다스를 영어로</t>
    </r>
    <r>
      <rPr>
        <sz val="10"/>
        <rFont val="Arial"/>
        <family val="2"/>
        <charset val="1"/>
      </rPr>
      <t>;12</t>
    </r>
    <r>
      <rPr>
        <sz val="10"/>
        <rFont val="Noto Sans CJK SC"/>
        <family val="2"/>
      </rPr>
      <t>개를 영어로</t>
    </r>
  </si>
  <si>
    <r>
      <rPr>
        <sz val="10"/>
        <rFont val="Arial"/>
        <family val="2"/>
        <charset val="1"/>
      </rPr>
      <t>dozen</t>
    </r>
    <r>
      <rPr>
        <sz val="10"/>
        <rFont val="Noto Sans CJK SC"/>
        <family val="2"/>
      </rPr>
      <t xml:space="preserve">은 </t>
    </r>
    <r>
      <rPr>
        <sz val="10"/>
        <rFont val="Arial"/>
        <family val="2"/>
        <charset val="1"/>
      </rPr>
      <t>'12</t>
    </r>
    <r>
      <rPr>
        <sz val="10"/>
        <rFont val="Noto Sans CJK SC"/>
        <family val="2"/>
      </rPr>
      <t>개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</rPr>
      <t>한 다스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라는 뜻이에요</t>
    </r>
    <r>
      <rPr>
        <sz val="10"/>
        <rFont val="Arial"/>
        <family val="2"/>
        <charset val="1"/>
      </rPr>
      <t>. a dozen eggs</t>
    </r>
    <r>
      <rPr>
        <sz val="10"/>
        <rFont val="Noto Sans CJK SC"/>
        <family val="2"/>
      </rPr>
      <t xml:space="preserve">는 달걀 </t>
    </r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개예요</t>
    </r>
    <r>
      <rPr>
        <sz val="10"/>
        <rFont val="Arial"/>
        <family val="2"/>
        <charset val="1"/>
      </rPr>
      <t>.</t>
    </r>
  </si>
  <si>
    <t>F-58</t>
  </si>
  <si>
    <t>drought가 무슨 뜻이에요?</t>
  </si>
  <si>
    <r>
      <rPr>
        <sz val="10"/>
        <rFont val="Arial"/>
        <family val="2"/>
        <charset val="1"/>
      </rPr>
      <t>drought</t>
    </r>
    <r>
      <rPr>
        <sz val="10"/>
        <rFont val="Noto Sans CJK SC"/>
        <family val="2"/>
      </rPr>
      <t>가 뭐예요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가뭄을 영어로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비가 안 오는 걸 영어로</t>
    </r>
  </si>
  <si>
    <r>
      <rPr>
        <sz val="10"/>
        <rFont val="Arial"/>
        <family val="2"/>
        <charset val="1"/>
      </rPr>
      <t>drought</t>
    </r>
    <r>
      <rPr>
        <sz val="10"/>
        <rFont val="Noto Sans CJK SC"/>
        <family val="2"/>
      </rPr>
      <t xml:space="preserve">는 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가뭄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이라는 뜻이에요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오랫동안 비가 오지 않는 것을 가리켜요</t>
    </r>
    <r>
      <rPr>
        <sz val="10"/>
        <rFont val="Arial"/>
        <family val="2"/>
        <charset val="1"/>
      </rPr>
      <t>.</t>
    </r>
  </si>
  <si>
    <t>F-59</t>
  </si>
  <si>
    <t>transition이 무슨 뜻이에요?</t>
  </si>
  <si>
    <r>
      <rPr>
        <sz val="10"/>
        <rFont val="Arial"/>
        <family val="2"/>
        <charset val="1"/>
      </rPr>
      <t>transition</t>
    </r>
    <r>
      <rPr>
        <sz val="10"/>
        <rFont val="Noto Sans CJK SC"/>
        <family val="2"/>
      </rPr>
      <t>이 뭐예요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변화를 영어로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계절이 바뀌는 걸 영어로</t>
    </r>
  </si>
  <si>
    <r>
      <rPr>
        <sz val="10"/>
        <rFont val="Arial"/>
        <family val="2"/>
        <charset val="1"/>
      </rPr>
      <t>transition</t>
    </r>
    <r>
      <rPr>
        <sz val="10"/>
        <rFont val="Noto Sans CJK SC"/>
        <family val="2"/>
      </rPr>
      <t xml:space="preserve">은 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변화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</rPr>
      <t>전환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이라는 뜻이에요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한 상태에서 다른 상태로 바뀌는 것을 가리켜요</t>
    </r>
    <r>
      <rPr>
        <sz val="10"/>
        <rFont val="Arial"/>
        <family val="2"/>
        <charset val="1"/>
      </rPr>
      <t>.</t>
    </r>
  </si>
  <si>
    <t>F-60</t>
  </si>
  <si>
    <t>textile이 무슨 뜻이에요?</t>
  </si>
  <si>
    <r>
      <rPr>
        <sz val="10"/>
        <rFont val="Arial"/>
        <family val="2"/>
        <charset val="1"/>
      </rPr>
      <t>textile</t>
    </r>
    <r>
      <rPr>
        <sz val="10"/>
        <rFont val="Noto Sans CJK SC"/>
        <family val="2"/>
      </rPr>
      <t>이 뭐예요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직물을 영어로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옷감을 영어로</t>
    </r>
  </si>
  <si>
    <r>
      <rPr>
        <sz val="10"/>
        <rFont val="Arial"/>
        <family val="2"/>
        <charset val="1"/>
      </rPr>
      <t>textile</t>
    </r>
    <r>
      <rPr>
        <sz val="10"/>
        <rFont val="Noto Sans CJK SC"/>
        <family val="2"/>
      </rPr>
      <t xml:space="preserve">은 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직물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</rPr>
      <t>옷감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이라는 뜻이에요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옷을 만드는 데 쓰는 천을 가리켜요</t>
    </r>
    <r>
      <rPr>
        <sz val="10"/>
        <rFont val="Arial"/>
        <family val="2"/>
        <charset val="1"/>
      </rPr>
      <t>.</t>
    </r>
  </si>
  <si>
    <t>F-61</t>
  </si>
  <si>
    <t>nerve가 무슨 뜻이에요?</t>
  </si>
  <si>
    <r>
      <rPr>
        <sz val="10"/>
        <rFont val="Arial"/>
        <family val="2"/>
        <charset val="1"/>
      </rPr>
      <t>nerve</t>
    </r>
    <r>
      <rPr>
        <sz val="10"/>
        <rFont val="Noto Sans CJK SC"/>
        <family val="2"/>
      </rPr>
      <t>가 뭐예요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신경을 영어로</t>
    </r>
    <r>
      <rPr>
        <sz val="10"/>
        <rFont val="Arial"/>
        <family val="2"/>
        <charset val="1"/>
      </rPr>
      <t>;brain</t>
    </r>
    <r>
      <rPr>
        <sz val="10"/>
        <rFont val="Noto Sans CJK SC"/>
        <family val="2"/>
      </rPr>
      <t xml:space="preserve">이랑 </t>
    </r>
    <r>
      <rPr>
        <sz val="10"/>
        <rFont val="Arial"/>
        <family val="2"/>
        <charset val="1"/>
      </rPr>
      <t xml:space="preserve">nerve </t>
    </r>
    <r>
      <rPr>
        <sz val="10"/>
        <rFont val="Noto Sans CJK SC"/>
        <family val="2"/>
      </rPr>
      <t>차이</t>
    </r>
  </si>
  <si>
    <r>
      <rPr>
        <sz val="10"/>
        <rFont val="Arial"/>
        <family val="2"/>
        <charset val="1"/>
      </rPr>
      <t>nerve</t>
    </r>
    <r>
      <rPr>
        <sz val="10"/>
        <rFont val="Noto Sans CJK SC"/>
        <family val="2"/>
      </rPr>
      <t xml:space="preserve">는 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신경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이라는 뜻이에요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몸의 감각과 움직임을 전달하는 부분을 가리켜요</t>
    </r>
    <r>
      <rPr>
        <sz val="10"/>
        <rFont val="Arial"/>
        <family val="2"/>
        <charset val="1"/>
      </rPr>
      <t>.</t>
    </r>
  </si>
  <si>
    <t>F-62</t>
  </si>
  <si>
    <t>strategy가 무슨 뜻이에요?</t>
  </si>
  <si>
    <r>
      <rPr>
        <sz val="10"/>
        <rFont val="Arial"/>
        <family val="2"/>
        <charset val="1"/>
      </rPr>
      <t>strategy</t>
    </r>
    <r>
      <rPr>
        <sz val="10"/>
        <rFont val="Noto Sans CJK SC"/>
        <family val="2"/>
      </rPr>
      <t>가 뭐예요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전략을 영어로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경기 작전을 영어로</t>
    </r>
  </si>
  <si>
    <r>
      <rPr>
        <sz val="10"/>
        <rFont val="Arial"/>
        <family val="2"/>
        <charset val="1"/>
      </rPr>
      <t>strategy</t>
    </r>
    <r>
      <rPr>
        <sz val="10"/>
        <rFont val="Noto Sans CJK SC"/>
        <family val="2"/>
      </rPr>
      <t xml:space="preserve">는 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전략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이라는 뜻이에요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목표를 이루기 위한 계획을 가리켜요</t>
    </r>
    <r>
      <rPr>
        <sz val="10"/>
        <rFont val="Arial"/>
        <family val="2"/>
        <charset val="1"/>
      </rPr>
      <t>.</t>
    </r>
  </si>
  <si>
    <t>F-63</t>
  </si>
  <si>
    <t>craft가 무슨 뜻이에요?</t>
  </si>
  <si>
    <r>
      <rPr>
        <sz val="10"/>
        <rFont val="Arial"/>
        <family val="2"/>
        <charset val="1"/>
      </rPr>
      <t>craft</t>
    </r>
    <r>
      <rPr>
        <sz val="10"/>
        <rFont val="Noto Sans CJK SC"/>
        <family val="2"/>
      </rPr>
      <t>가 뭐예요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공예를 영어로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손으로 만드는 걸 영어로</t>
    </r>
  </si>
  <si>
    <r>
      <rPr>
        <sz val="10"/>
        <rFont val="Arial"/>
        <family val="2"/>
        <charset val="1"/>
      </rPr>
      <t>craft</t>
    </r>
    <r>
      <rPr>
        <sz val="10"/>
        <rFont val="Noto Sans CJK SC"/>
        <family val="2"/>
      </rPr>
      <t xml:space="preserve">는 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공예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라는 뜻이에요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손으로 무언가를 만드는 활동을 가리켜요</t>
    </r>
    <r>
      <rPr>
        <sz val="10"/>
        <rFont val="Arial"/>
        <family val="2"/>
        <charset val="1"/>
      </rPr>
      <t>.</t>
    </r>
  </si>
  <si>
    <t>F-64</t>
  </si>
  <si>
    <t>punctual이 무슨 뜻이에요?</t>
  </si>
  <si>
    <r>
      <rPr>
        <sz val="10"/>
        <rFont val="Arial"/>
        <family val="2"/>
        <charset val="1"/>
      </rPr>
      <t>punctual</t>
    </r>
    <r>
      <rPr>
        <sz val="10"/>
        <rFont val="Noto Sans CJK SC"/>
        <family val="2"/>
      </rPr>
      <t>이 뭐예요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시간을 잘 지키다를 영어로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지각 안 하는 걸 영어로</t>
    </r>
  </si>
  <si>
    <r>
      <rPr>
        <sz val="10"/>
        <rFont val="Arial"/>
        <family val="2"/>
        <charset val="1"/>
      </rPr>
      <t>punctual</t>
    </r>
    <r>
      <rPr>
        <sz val="10"/>
        <rFont val="Noto Sans CJK SC"/>
        <family val="2"/>
      </rPr>
      <t xml:space="preserve">은 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시간을 잘 지키는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이라는 뜻이에요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약속 시간에 늦지 않는 것을 가리켜요</t>
    </r>
    <r>
      <rPr>
        <sz val="10"/>
        <rFont val="Arial"/>
        <family val="2"/>
        <charset val="1"/>
      </rPr>
      <t>.</t>
    </r>
  </si>
  <si>
    <t>F-65</t>
  </si>
  <si>
    <t>vehicle이 무슨 뜻이에요?</t>
  </si>
  <si>
    <r>
      <rPr>
        <sz val="10"/>
        <rFont val="Arial"/>
        <family val="2"/>
        <charset val="1"/>
      </rPr>
      <t>vehicle</t>
    </r>
    <r>
      <rPr>
        <sz val="10"/>
        <rFont val="Noto Sans CJK SC"/>
        <family val="2"/>
      </rPr>
      <t>이 뭐예요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차량을 영어로</t>
    </r>
    <r>
      <rPr>
        <sz val="10"/>
        <rFont val="Arial"/>
        <family val="2"/>
        <charset val="1"/>
      </rPr>
      <t>;car</t>
    </r>
    <r>
      <rPr>
        <sz val="10"/>
        <rFont val="Noto Sans CJK SC"/>
        <family val="2"/>
      </rPr>
      <t xml:space="preserve">랑 </t>
    </r>
    <r>
      <rPr>
        <sz val="10"/>
        <rFont val="Arial"/>
        <family val="2"/>
        <charset val="1"/>
      </rPr>
      <t xml:space="preserve">vehicle </t>
    </r>
    <r>
      <rPr>
        <sz val="10"/>
        <rFont val="Noto Sans CJK SC"/>
        <family val="2"/>
      </rPr>
      <t>차이</t>
    </r>
  </si>
  <si>
    <r>
      <rPr>
        <sz val="10"/>
        <rFont val="Arial"/>
        <family val="2"/>
        <charset val="1"/>
      </rPr>
      <t>vehicle</t>
    </r>
    <r>
      <rPr>
        <sz val="10"/>
        <rFont val="Noto Sans CJK SC"/>
        <family val="2"/>
      </rPr>
      <t xml:space="preserve">은 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차량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이라는 뜻이에요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자동차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</rPr>
      <t>버스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</rPr>
      <t>트럭처럼 이동하는 모든 것을 가리켜요</t>
    </r>
    <r>
      <rPr>
        <sz val="10"/>
        <rFont val="Arial"/>
        <family val="2"/>
        <charset val="1"/>
      </rPr>
      <t>.</t>
    </r>
  </si>
  <si>
    <t>F-66</t>
  </si>
  <si>
    <t>facility가 무슨 뜻이에요?</t>
  </si>
  <si>
    <r>
      <rPr>
        <sz val="10"/>
        <rFont val="Arial"/>
        <family val="2"/>
        <charset val="1"/>
      </rPr>
      <t>facility</t>
    </r>
    <r>
      <rPr>
        <sz val="10"/>
        <rFont val="Noto Sans CJK SC"/>
        <family val="2"/>
      </rPr>
      <t>가 뭐예요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시설을 영어로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공공시설을 영어로</t>
    </r>
  </si>
  <si>
    <r>
      <rPr>
        <sz val="10"/>
        <rFont val="Arial"/>
        <family val="2"/>
        <charset val="1"/>
      </rPr>
      <t>facility</t>
    </r>
    <r>
      <rPr>
        <sz val="10"/>
        <rFont val="Noto Sans CJK SC"/>
        <family val="2"/>
      </rPr>
      <t xml:space="preserve">는 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시설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이라는 뜻이에요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사람들이 이용하는 건물이나 장비를 가리켜요</t>
    </r>
    <r>
      <rPr>
        <sz val="10"/>
        <rFont val="Arial"/>
        <family val="2"/>
        <charset val="1"/>
      </rPr>
      <t>.</t>
    </r>
  </si>
  <si>
    <t>F-67</t>
  </si>
  <si>
    <t>occupation이 무슨 뜻이에요?</t>
  </si>
  <si>
    <r>
      <rPr>
        <sz val="10"/>
        <rFont val="Arial"/>
        <family val="2"/>
        <charset val="1"/>
      </rPr>
      <t>occupation</t>
    </r>
    <r>
      <rPr>
        <sz val="10"/>
        <rFont val="Noto Sans CJK SC"/>
        <family val="2"/>
      </rPr>
      <t>이 뭐예요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직업을 영어로</t>
    </r>
    <r>
      <rPr>
        <sz val="10"/>
        <rFont val="Arial"/>
        <family val="2"/>
        <charset val="1"/>
      </rPr>
      <t>;job</t>
    </r>
    <r>
      <rPr>
        <sz val="10"/>
        <rFont val="Noto Sans CJK SC"/>
        <family val="2"/>
      </rPr>
      <t xml:space="preserve">이랑 </t>
    </r>
    <r>
      <rPr>
        <sz val="10"/>
        <rFont val="Arial"/>
        <family val="2"/>
        <charset val="1"/>
      </rPr>
      <t xml:space="preserve">occupation </t>
    </r>
    <r>
      <rPr>
        <sz val="10"/>
        <rFont val="Noto Sans CJK SC"/>
        <family val="2"/>
      </rPr>
      <t>차이</t>
    </r>
  </si>
  <si>
    <r>
      <rPr>
        <sz val="10"/>
        <rFont val="Arial"/>
        <family val="2"/>
        <charset val="1"/>
      </rPr>
      <t>occupation</t>
    </r>
    <r>
      <rPr>
        <sz val="10"/>
        <rFont val="Noto Sans CJK SC"/>
        <family val="2"/>
      </rPr>
      <t xml:space="preserve">은 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직업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이라는 뜻이에요</t>
    </r>
    <r>
      <rPr>
        <sz val="10"/>
        <rFont val="Arial"/>
        <family val="2"/>
        <charset val="1"/>
      </rPr>
      <t>. job</t>
    </r>
    <r>
      <rPr>
        <sz val="10"/>
        <rFont val="Noto Sans CJK SC"/>
        <family val="2"/>
      </rPr>
      <t>과 비슷한 뜻으로 쓰여요</t>
    </r>
    <r>
      <rPr>
        <sz val="10"/>
        <rFont val="Arial"/>
        <family val="2"/>
        <charset val="1"/>
      </rPr>
      <t>.</t>
    </r>
  </si>
  <si>
    <t>F-68</t>
  </si>
  <si>
    <t>grateful이 무슨 뜻이에요?</t>
  </si>
  <si>
    <r>
      <rPr>
        <sz val="10"/>
        <rFont val="Arial"/>
        <family val="2"/>
        <charset val="1"/>
      </rPr>
      <t>grateful</t>
    </r>
    <r>
      <rPr>
        <sz val="10"/>
        <rFont val="Noto Sans CJK SC"/>
        <family val="2"/>
      </rPr>
      <t>이 뭐예요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감사하다를 영어로</t>
    </r>
    <r>
      <rPr>
        <sz val="10"/>
        <rFont val="Arial"/>
        <family val="2"/>
        <charset val="1"/>
      </rPr>
      <t>;thank you</t>
    </r>
    <r>
      <rPr>
        <sz val="10"/>
        <rFont val="Noto Sans CJK SC"/>
        <family val="2"/>
      </rPr>
      <t xml:space="preserve">랑 </t>
    </r>
    <r>
      <rPr>
        <sz val="10"/>
        <rFont val="Arial"/>
        <family val="2"/>
        <charset val="1"/>
      </rPr>
      <t xml:space="preserve">grateful </t>
    </r>
    <r>
      <rPr>
        <sz val="10"/>
        <rFont val="Noto Sans CJK SC"/>
        <family val="2"/>
      </rPr>
      <t>차이</t>
    </r>
  </si>
  <si>
    <r>
      <rPr>
        <sz val="10"/>
        <rFont val="Arial"/>
        <family val="2"/>
        <charset val="1"/>
      </rPr>
      <t>grateful</t>
    </r>
    <r>
      <rPr>
        <sz val="10"/>
        <rFont val="Noto Sans CJK SC"/>
        <family val="2"/>
      </rPr>
      <t xml:space="preserve">은 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감사하는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이라는 뜻이에요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고마운 마음을 나타내는 형용사예요</t>
    </r>
    <r>
      <rPr>
        <sz val="10"/>
        <rFont val="Arial"/>
        <family val="2"/>
        <charset val="1"/>
      </rPr>
      <t>.</t>
    </r>
  </si>
  <si>
    <t>F-69</t>
  </si>
  <si>
    <t>budget이 무슨 뜻이에요?</t>
  </si>
  <si>
    <r>
      <rPr>
        <sz val="10"/>
        <rFont val="Arial"/>
        <family val="2"/>
        <charset val="1"/>
      </rPr>
      <t>budget</t>
    </r>
    <r>
      <rPr>
        <sz val="10"/>
        <rFont val="Noto Sans CJK SC"/>
        <family val="2"/>
      </rPr>
      <t>이 뭐예요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예산을 영어로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쓸 수 있는 돈을 영어로</t>
    </r>
  </si>
  <si>
    <r>
      <rPr>
        <sz val="10"/>
        <rFont val="Arial"/>
        <family val="2"/>
        <charset val="1"/>
      </rPr>
      <t>budget</t>
    </r>
    <r>
      <rPr>
        <sz val="10"/>
        <rFont val="Noto Sans CJK SC"/>
        <family val="2"/>
      </rPr>
      <t xml:space="preserve">은 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예산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이라는 뜻이에요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쓸 수 있게 정해 놓은 돈을 가리켜요</t>
    </r>
    <r>
      <rPr>
        <sz val="10"/>
        <rFont val="Arial"/>
        <family val="2"/>
        <charset val="1"/>
      </rPr>
      <t>.</t>
    </r>
  </si>
  <si>
    <t>F-70</t>
  </si>
  <si>
    <t>residence가 무슨 뜻이에요?</t>
  </si>
  <si>
    <r>
      <rPr>
        <sz val="10"/>
        <rFont val="Arial"/>
        <family val="2"/>
        <charset val="1"/>
      </rPr>
      <t>residence</t>
    </r>
    <r>
      <rPr>
        <sz val="10"/>
        <rFont val="Noto Sans CJK SC"/>
        <family val="2"/>
      </rPr>
      <t>가 뭐예요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거주지를 영어로</t>
    </r>
    <r>
      <rPr>
        <sz val="10"/>
        <rFont val="Arial"/>
        <family val="2"/>
        <charset val="1"/>
      </rPr>
      <t>;</t>
    </r>
    <r>
      <rPr>
        <sz val="10"/>
        <rFont val="Noto Sans CJK SC"/>
        <family val="2"/>
      </rPr>
      <t>사는 곳을 영어로</t>
    </r>
  </si>
  <si>
    <r>
      <rPr>
        <sz val="10"/>
        <rFont val="Arial"/>
        <family val="2"/>
        <charset val="1"/>
      </rPr>
      <t>residence</t>
    </r>
    <r>
      <rPr>
        <sz val="10"/>
        <rFont val="Noto Sans CJK SC"/>
        <family val="2"/>
      </rPr>
      <t xml:space="preserve">는 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거주지</t>
    </r>
    <r>
      <rPr>
        <sz val="10"/>
        <rFont val="Arial"/>
        <family val="2"/>
        <charset val="1"/>
      </rPr>
      <t>'</t>
    </r>
    <r>
      <rPr>
        <sz val="10"/>
        <rFont val="Noto Sans CJK SC"/>
        <family val="2"/>
      </rPr>
      <t>라는 뜻이에요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사람이 사는 집이나 장소를 가리켜요</t>
    </r>
    <r>
      <rPr>
        <sz val="10"/>
        <rFont val="Arial"/>
        <family val="2"/>
        <charset val="1"/>
      </rPr>
      <t>.</t>
    </r>
  </si>
  <si>
    <t>F-71</t>
  </si>
  <si>
    <t>This·These 단수복수 문장 더 보여주세요</t>
  </si>
  <si>
    <t>다른 예문 알려줘요;This These 예문 더;단수 복수 문장 또</t>
  </si>
  <si>
    <t>This lion is big. These lions are big. This insect is small. These insects are small.</t>
  </si>
  <si>
    <t>F-72</t>
  </si>
  <si>
    <t>서수+the 문장 더 보여주세요</t>
  </si>
  <si>
    <t>다른 예문 알려줘요;first second 문장 더;the first 예문 또</t>
  </si>
  <si>
    <t>She was the first to finish. He is the second child. It was the third try.</t>
  </si>
  <si>
    <t>He is the second child.</t>
  </si>
  <si>
    <t>F-73</t>
  </si>
  <si>
    <t>빈도부사 문장 더 보여주세요</t>
  </si>
  <si>
    <t>다른 예문 알려줘요;always usually 예문 더;빈도부사 문장 또</t>
  </si>
  <si>
    <t>She always goes to school. He is usually happy. They often play together.</t>
  </si>
  <si>
    <t>He is usually happy.</t>
  </si>
  <si>
    <t>F-74</t>
  </si>
  <si>
    <t>be동사+a/an+직업 문장 더 보여주세요</t>
  </si>
  <si>
    <t>다른 예문 알려줘요;직업 문장 더;My dad is a 다른 예문</t>
  </si>
  <si>
    <t>My dad is a firefighter. She is an engineer. He is a scientist.</t>
  </si>
  <si>
    <t>She is an engineer.</t>
  </si>
  <si>
    <t>F-75</t>
  </si>
  <si>
    <t>명사 복수형 문장 더 보여주세요</t>
  </si>
  <si>
    <t>다른 예문 알려줘요;복수형 문장 더;-s 붙이는 예문 또</t>
  </si>
  <si>
    <t>I have two cats. There are many monkeys. She has three books.</t>
  </si>
  <si>
    <r>
      <rPr>
        <sz val="9"/>
        <color rgb="FF666666"/>
        <rFont val="Arial"/>
        <family val="2"/>
        <charset val="1"/>
      </rPr>
      <t>※ A~G</t>
    </r>
    <r>
      <rPr>
        <sz val="9"/>
        <color rgb="FF666666"/>
        <rFont val="Noto Sans CJK SC"/>
        <family val="2"/>
      </rPr>
      <t xml:space="preserve">열이 </t>
    </r>
    <r>
      <rPr>
        <sz val="9"/>
        <color rgb="FF666666"/>
        <rFont val="Arial"/>
        <family val="2"/>
        <charset val="1"/>
      </rPr>
      <t xml:space="preserve">faq.jsonl </t>
    </r>
    <r>
      <rPr>
        <sz val="9"/>
        <color rgb="FF666666"/>
        <rFont val="Noto Sans CJK SC"/>
        <family val="2"/>
      </rPr>
      <t>납품 컬럼</t>
    </r>
    <r>
      <rPr>
        <sz val="9"/>
        <color rgb="FF666666"/>
        <rFont val="Arial"/>
        <family val="2"/>
        <charset val="1"/>
      </rPr>
      <t xml:space="preserve">. </t>
    </r>
    <r>
      <rPr>
        <sz val="9"/>
        <color rgb="FF666666"/>
        <rFont val="Noto Sans CJK SC"/>
        <family val="2"/>
      </rPr>
      <t xml:space="preserve">목표 </t>
    </r>
    <r>
      <rPr>
        <sz val="9"/>
        <color rgb="FF666666"/>
        <rFont val="Arial"/>
        <family val="2"/>
        <charset val="1"/>
      </rPr>
      <t>70</t>
    </r>
    <r>
      <rPr>
        <sz val="9"/>
        <color rgb="FF666666"/>
        <rFont val="Noto Sans CJK SC"/>
        <family val="2"/>
      </rPr>
      <t>개 이상</t>
    </r>
    <r>
      <rPr>
        <sz val="9"/>
        <color rgb="FF666666"/>
        <rFont val="Arial"/>
        <family val="2"/>
        <charset val="1"/>
      </rPr>
      <t>(</t>
    </r>
    <r>
      <rPr>
        <sz val="9"/>
        <color rgb="FF666666"/>
        <rFont val="Noto Sans CJK SC"/>
        <family val="2"/>
      </rPr>
      <t xml:space="preserve">현재 </t>
    </r>
    <r>
      <rPr>
        <sz val="9"/>
        <color rgb="FF666666"/>
        <rFont val="Arial"/>
        <family val="2"/>
        <charset val="1"/>
      </rPr>
      <t>74</t>
    </r>
    <r>
      <rPr>
        <sz val="9"/>
        <color rgb="FF666666"/>
        <rFont val="Noto Sans CJK SC"/>
        <family val="2"/>
      </rPr>
      <t>개</t>
    </r>
    <r>
      <rPr>
        <sz val="9"/>
        <color rgb="FF666666"/>
        <rFont val="Arial"/>
        <family val="2"/>
        <charset val="1"/>
      </rPr>
      <t xml:space="preserve">: </t>
    </r>
    <r>
      <rPr>
        <sz val="9"/>
        <color rgb="FF666666"/>
        <rFont val="Noto Sans CJK SC"/>
        <family val="2"/>
      </rPr>
      <t xml:space="preserve">규칙 질문 </t>
    </r>
    <r>
      <rPr>
        <sz val="9"/>
        <color rgb="FF666666"/>
        <rFont val="Arial"/>
        <family val="2"/>
        <charset val="1"/>
      </rPr>
      <t xml:space="preserve">35 · </t>
    </r>
    <r>
      <rPr>
        <sz val="9"/>
        <color rgb="FF666666"/>
        <rFont val="Noto Sans CJK SC"/>
        <family val="2"/>
      </rPr>
      <t xml:space="preserve">단어 뜻 질문 </t>
    </r>
    <r>
      <rPr>
        <sz val="9"/>
        <color rgb="FF666666"/>
        <rFont val="Arial"/>
        <family val="2"/>
        <charset val="1"/>
      </rPr>
      <t xml:space="preserve">29 · </t>
    </r>
    <r>
      <rPr>
        <sz val="9"/>
        <color rgb="FF666666"/>
        <rFont val="Noto Sans CJK SC"/>
        <family val="2"/>
      </rPr>
      <t xml:space="preserve">다른 예문 요청 </t>
    </r>
    <r>
      <rPr>
        <sz val="9"/>
        <color rgb="FF666666"/>
        <rFont val="Arial"/>
        <family val="2"/>
        <charset val="1"/>
      </rPr>
      <t xml:space="preserve">10). F-06 </t>
    </r>
    <r>
      <rPr>
        <sz val="9"/>
        <color rgb="FF666666"/>
        <rFont val="Noto Sans CJK SC"/>
        <family val="2"/>
      </rPr>
      <t xml:space="preserve">처럼 규칙과 무관한 단어 질문이면 </t>
    </r>
    <r>
      <rPr>
        <sz val="9"/>
        <color rgb="FF666666"/>
        <rFont val="Arial"/>
        <family val="2"/>
        <charset val="1"/>
      </rPr>
      <t xml:space="preserve">rule_ids </t>
    </r>
    <r>
      <rPr>
        <sz val="9"/>
        <color rgb="FF666666"/>
        <rFont val="Noto Sans CJK SC"/>
        <family val="2"/>
      </rPr>
      <t xml:space="preserve">를 비워 둔다 — 그 경우 </t>
    </r>
    <r>
      <rPr>
        <sz val="9"/>
        <color rgb="FF666666"/>
        <rFont val="Arial"/>
        <family val="2"/>
        <charset val="1"/>
      </rPr>
      <t>chk_rule</t>
    </r>
    <r>
      <rPr>
        <sz val="9"/>
        <color rgb="FF666666"/>
        <rFont val="Noto Sans CJK SC"/>
        <family val="2"/>
      </rPr>
      <t>존재 도 비어 있는 것이 정상이다</t>
    </r>
    <r>
      <rPr>
        <sz val="9"/>
        <color rgb="FF666666"/>
        <rFont val="Arial"/>
        <family val="2"/>
        <charset val="1"/>
      </rPr>
      <t>. chk_rule</t>
    </r>
    <r>
      <rPr>
        <sz val="9"/>
        <color rgb="FF666666"/>
        <rFont val="Noto Sans CJK SC"/>
        <family val="2"/>
      </rPr>
      <t xml:space="preserve">존재 는 </t>
    </r>
    <r>
      <rPr>
        <sz val="9"/>
        <color rgb="FF666666"/>
        <rFont val="Arial"/>
        <family val="2"/>
        <charset val="1"/>
      </rPr>
      <t xml:space="preserve">rule_ids </t>
    </r>
    <r>
      <rPr>
        <sz val="9"/>
        <color rgb="FF666666"/>
        <rFont val="Noto Sans CJK SC"/>
        <family val="2"/>
      </rPr>
      <t>의 첫 값만 본다</t>
    </r>
    <r>
      <rPr>
        <sz val="9"/>
        <color rgb="FF666666"/>
        <rFont val="Arial"/>
        <family val="2"/>
        <charset val="1"/>
      </rPr>
      <t xml:space="preserve">. </t>
    </r>
    <r>
      <rPr>
        <sz val="9"/>
        <color rgb="FF666666"/>
        <rFont val="Noto Sans CJK SC"/>
        <family val="2"/>
      </rPr>
      <t>두 번째 이후 값은 사람이 확인한다</t>
    </r>
    <r>
      <rPr>
        <sz val="9"/>
        <color rgb="FF666666"/>
        <rFont val="Arial"/>
        <family val="2"/>
        <charset val="1"/>
      </rPr>
      <t xml:space="preserve">. variants </t>
    </r>
    <r>
      <rPr>
        <sz val="9"/>
        <color rgb="FF666666"/>
        <rFont val="Noto Sans CJK SC"/>
        <family val="2"/>
      </rPr>
      <t xml:space="preserve">는 </t>
    </r>
    <r>
      <rPr>
        <sz val="9"/>
        <color rgb="FF666666"/>
        <rFont val="Arial"/>
        <family val="2"/>
        <charset val="1"/>
      </rPr>
      <t>3</t>
    </r>
    <r>
      <rPr>
        <sz val="9"/>
        <color rgb="FF666666"/>
        <rFont val="Noto Sans CJK SC"/>
        <family val="2"/>
      </rPr>
      <t>개 이상이어야 검색이 잘 걸린다</t>
    </r>
    <r>
      <rPr>
        <sz val="9"/>
        <color rgb="FF666666"/>
        <rFont val="Arial"/>
        <family val="2"/>
        <charset val="1"/>
      </rPr>
      <t>.</t>
    </r>
  </si>
  <si>
    <t>일시</t>
  </si>
  <si>
    <t>대상 시트</t>
  </si>
  <si>
    <t>대상 id</t>
  </si>
  <si>
    <t>현재 값</t>
  </si>
  <si>
    <t>제안 값</t>
  </si>
  <si>
    <t>사유</t>
  </si>
  <si>
    <t>상태</t>
  </si>
  <si>
    <t>2026-09-07</t>
  </si>
  <si>
    <t>unit = U3</t>
  </si>
  <si>
    <t>unit = U4</t>
  </si>
  <si>
    <r>
      <rPr>
        <sz val="10"/>
        <rFont val="Arial"/>
        <family val="2"/>
        <charset val="1"/>
      </rPr>
      <t xml:space="preserve">units.csv </t>
    </r>
    <r>
      <rPr>
        <sz val="10"/>
        <rFont val="Noto Sans CJK SC"/>
        <family val="2"/>
      </rPr>
      <t xml:space="preserve">는 </t>
    </r>
    <r>
      <rPr>
        <sz val="10"/>
        <rFont val="Arial"/>
        <family val="2"/>
        <charset val="1"/>
      </rPr>
      <t xml:space="preserve">R-03 </t>
    </r>
    <r>
      <rPr>
        <sz val="10"/>
        <rFont val="Noto Sans CJK SC"/>
        <family val="2"/>
      </rPr>
      <t xml:space="preserve">을 </t>
    </r>
    <r>
      <rPr>
        <sz val="10"/>
        <rFont val="Arial"/>
        <family val="2"/>
        <charset val="1"/>
      </rPr>
      <t xml:space="preserve">U4 </t>
    </r>
    <r>
      <rPr>
        <sz val="10"/>
        <rFont val="Noto Sans CJK SC"/>
        <family val="2"/>
      </rPr>
      <t>에 배치</t>
    </r>
    <r>
      <rPr>
        <sz val="10"/>
        <rFont val="Arial"/>
        <family val="2"/>
        <charset val="1"/>
      </rPr>
      <t xml:space="preserve">. patterns p-0005, errors E-0005 </t>
    </r>
    <r>
      <rPr>
        <sz val="10"/>
        <rFont val="Noto Sans CJK SC"/>
        <family val="2"/>
      </rPr>
      <t xml:space="preserve">도 </t>
    </r>
    <r>
      <rPr>
        <sz val="10"/>
        <rFont val="Arial"/>
        <family val="2"/>
        <charset val="1"/>
      </rPr>
      <t xml:space="preserve">U4 — rules </t>
    </r>
    <r>
      <rPr>
        <sz val="10"/>
        <rFont val="Noto Sans CJK SC"/>
        <family val="2"/>
      </rPr>
      <t xml:space="preserve">쪽만 </t>
    </r>
    <r>
      <rPr>
        <sz val="10"/>
        <rFont val="Arial"/>
        <family val="2"/>
        <charset val="1"/>
      </rPr>
      <t>U3</t>
    </r>
  </si>
  <si>
    <t>발견</t>
  </si>
  <si>
    <t>unit = ALL(?)</t>
  </si>
  <si>
    <r>
      <rPr>
        <sz val="10"/>
        <rFont val="Arial"/>
        <family val="2"/>
        <charset val="1"/>
      </rPr>
      <t xml:space="preserve">units.csv 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2"/>
        <charset val="1"/>
      </rPr>
      <t xml:space="preserve">U3·U4 </t>
    </r>
    <r>
      <rPr>
        <sz val="10"/>
        <rFont val="Noto Sans CJK SC"/>
        <family val="2"/>
      </rPr>
      <t>두 곳이 참조</t>
    </r>
    <r>
      <rPr>
        <sz val="10"/>
        <rFont val="Arial"/>
        <family val="2"/>
        <charset val="1"/>
      </rPr>
      <t xml:space="preserve">. README </t>
    </r>
    <r>
      <rPr>
        <sz val="10"/>
        <rFont val="Noto Sans CJK SC"/>
        <family val="2"/>
      </rPr>
      <t xml:space="preserve">규칙상 여러 </t>
    </r>
    <r>
      <rPr>
        <sz val="10"/>
        <rFont val="Arial"/>
        <family val="2"/>
        <charset val="1"/>
      </rPr>
      <t xml:space="preserve">Unit </t>
    </r>
    <r>
      <rPr>
        <sz val="10"/>
        <rFont val="Noto Sans CJK SC"/>
        <family val="2"/>
      </rPr>
      <t xml:space="preserve">이면 </t>
    </r>
    <r>
      <rPr>
        <sz val="10"/>
        <rFont val="Arial"/>
        <family val="2"/>
        <charset val="1"/>
      </rPr>
      <t>ALL</t>
    </r>
  </si>
  <si>
    <t>unit = U5</t>
  </si>
  <si>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>미정</t>
    </r>
    <r>
      <rPr>
        <sz val="10"/>
        <rFont val="Arial"/>
        <family val="2"/>
        <charset val="1"/>
      </rPr>
      <t>)</t>
    </r>
  </si>
  <si>
    <t>근거 규칙 R-02 가 U5 의 rule_ids 에 없음</t>
  </si>
  <si>
    <t>unit = ALL</t>
  </si>
  <si>
    <t>어느 Unit 의 rule_ids 에도 없어 화면에 노출될 경로가 없다. eval 에는 문항이 있음</t>
  </si>
  <si>
    <r>
      <rPr>
        <sz val="10"/>
        <rFont val="Arial"/>
        <family val="2"/>
        <charset val="1"/>
      </rPr>
      <t>variants 2</t>
    </r>
    <r>
      <rPr>
        <sz val="10"/>
        <rFont val="Noto Sans CJK SC"/>
        <family val="2"/>
      </rPr>
      <t>개</t>
    </r>
  </si>
  <si>
    <r>
      <rPr>
        <sz val="10"/>
        <rFont val="Arial"/>
        <family val="2"/>
        <charset val="1"/>
      </rPr>
      <t>3</t>
    </r>
    <r>
      <rPr>
        <sz val="10"/>
        <rFont val="Noto Sans CJK SC"/>
        <family val="2"/>
      </rPr>
      <t>개 이상으로 보강</t>
    </r>
  </si>
  <si>
    <r>
      <rPr>
        <sz val="10"/>
        <rFont val="Arial"/>
        <family val="2"/>
        <charset val="1"/>
      </rPr>
      <t xml:space="preserve">README </t>
    </r>
    <r>
      <rPr>
        <sz val="10"/>
        <rFont val="Noto Sans CJK SC"/>
        <family val="2"/>
      </rPr>
      <t xml:space="preserve">규칙은 </t>
    </r>
    <r>
      <rPr>
        <sz val="10"/>
        <rFont val="Arial"/>
        <family val="2"/>
        <charset val="1"/>
      </rPr>
      <t>variants 3</t>
    </r>
    <r>
      <rPr>
        <sz val="10"/>
        <rFont val="Noto Sans CJK SC"/>
        <family val="2"/>
      </rPr>
      <t>개 이상 — 검색 적중률에 직접 영향</t>
    </r>
  </si>
  <si>
    <r>
      <rPr>
        <sz val="10"/>
        <rFont val="Arial"/>
        <family val="2"/>
        <charset val="1"/>
      </rPr>
      <t xml:space="preserve">kind </t>
    </r>
    <r>
      <rPr>
        <sz val="10"/>
        <rFont val="Noto Sans CJK SC"/>
        <family val="2"/>
      </rPr>
      <t xml:space="preserve">를 형용사로 쓰면 </t>
    </r>
    <r>
      <rPr>
        <sz val="10"/>
        <rFont val="Arial"/>
        <family val="2"/>
        <charset val="1"/>
      </rPr>
      <t xml:space="preserve">Cambridge Flyers </t>
    </r>
    <r>
      <rPr>
        <sz val="10"/>
        <rFont val="Noto Sans CJK SC"/>
        <family val="2"/>
      </rPr>
      <t>등급</t>
    </r>
    <r>
      <rPr>
        <sz val="10"/>
        <rFont val="Arial"/>
        <family val="2"/>
        <charset val="1"/>
      </rPr>
      <t xml:space="preserve">. plan-A </t>
    </r>
    <r>
      <rPr>
        <sz val="10"/>
        <rFont val="Noto Sans CJK SC"/>
        <family val="2"/>
      </rPr>
      <t>샘플에서도 같은 지적</t>
    </r>
  </si>
  <si>
    <t>w-0001, w-0002</t>
  </si>
  <si>
    <t>rabbit, lion</t>
  </si>
  <si>
    <r>
      <rPr>
        <sz val="10"/>
        <rFont val="Arial"/>
        <family val="2"/>
        <charset val="1"/>
      </rPr>
      <t xml:space="preserve">Cambridge </t>
    </r>
    <r>
      <rPr>
        <sz val="10"/>
        <rFont val="Noto Sans CJK SC"/>
        <family val="2"/>
      </rPr>
      <t xml:space="preserve">등급이 </t>
    </r>
    <r>
      <rPr>
        <sz val="10"/>
        <rFont val="Arial"/>
        <family val="2"/>
        <charset val="1"/>
      </rPr>
      <t xml:space="preserve">Movers. plan-B </t>
    </r>
    <r>
      <rPr>
        <sz val="10"/>
        <rFont val="Noto Sans CJK SC"/>
        <family val="2"/>
      </rPr>
      <t>에서 이 기준을 유지할지 팀 판단 필요</t>
    </r>
  </si>
  <si>
    <t>보류</t>
  </si>
  <si>
    <t>※ 납품하지 않는 시트다. 자동 검사에 걸린 것과 사람이 발견한 것을 모두 여기 남긴다. '제안 값'이 (미정)인 행은 아직 교체안을 정하지 않은 것이다. 팀 합의 후 채우고 상태를 '반영'으로 바꾼다.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</si>
</sst>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charset val="1"/>
    </font>
    <font>
      <b/>
      <sz val="14"/>
      <color rgb="FF1F4E79"/>
      <name val="Noto Sans CJK SC"/>
      <family val="2"/>
      <charset val="1"/>
    </font>
    <font>
      <sz val="9"/>
      <color rgb="FF666666"/>
      <name val="Arial"/>
      <family val="2"/>
      <charset val="1"/>
    </font>
    <font>
      <sz val="9"/>
      <color rgb="FF666666"/>
      <name val="Noto Sans CJK SC"/>
      <family val="2"/>
    </font>
    <font>
      <sz val="10"/>
      <name val="Arial"/>
      <family val="2"/>
      <charset val="1"/>
    </font>
    <font>
      <b/>
      <sz val="11"/>
      <color rgb="FF1F4E79"/>
      <name val="Noto Sans CJK SC"/>
      <family val="2"/>
      <charset val="1"/>
    </font>
    <font>
      <sz val="10"/>
      <name val="Noto Sans CJK SC"/>
      <family val="2"/>
    </font>
    <font>
      <sz val="10"/>
      <name val="Noto Sans CJK SC"/>
      <family val="2"/>
      <charset val="1"/>
    </font>
    <font>
      <b/>
      <sz val="10"/>
      <color rgb="FFFFFFFF"/>
      <name val="Noto Sans CJK SC"/>
      <family val="2"/>
      <charset val="1"/>
    </font>
    <font>
      <sz val="10"/>
      <color rgb="FF444444"/>
      <name val="Arial"/>
      <family val="2"/>
      <charset val="1"/>
    </font>
    <font>
      <b/>
      <sz val="11"/>
      <color rgb="FF1F4E79"/>
      <name val="Arial"/>
      <family val="2"/>
      <charset val="1"/>
    </font>
    <font>
      <b/>
      <sz val="11"/>
      <color rgb="FF1F4E79"/>
      <name val="Noto Sans CJK SC"/>
      <family val="2"/>
    </font>
    <font>
      <b/>
      <sz val="10"/>
      <color rgb="FFFFFFFF"/>
      <name val="Arial"/>
      <family val="2"/>
      <charset val="1"/>
    </font>
    <font>
      <b/>
      <sz val="10"/>
      <color rgb="FFFFFFFF"/>
      <name val="Noto Sans CJK SC"/>
      <family val="2"/>
    </font>
    <font>
      <sz val="10"/>
      <color rgb="FF444444"/>
      <name val="Noto Sans CJK SC"/>
      <family val="2"/>
      <charset val="1"/>
    </font>
    <font>
      <sz val="9"/>
      <color rgb="FF666666"/>
      <name val="Noto Sans CJK SC"/>
      <family val="2"/>
      <charset val="1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EEEEE"/>
        <bgColor rgb="FFDEEAF6"/>
      </patternFill>
    </fill>
    <fill>
      <patternFill patternType="solid">
        <fgColor rgb="FF7F6000"/>
        <bgColor rgb="FF833C00"/>
      </patternFill>
    </fill>
    <fill>
      <patternFill patternType="solid">
        <fgColor rgb="FF833C00"/>
        <bgColor rgb="FF7F6000"/>
      </patternFill>
    </fill>
    <fill>
      <patternFill patternType="solid">
        <fgColor rgb="FFDEEAF6"/>
        <bgColor rgb="FFEEEEEE"/>
      </patternFill>
    </fill>
    <fill>
      <patternFill patternType="solid">
        <fgColor rgb="FFFFF2CC"/>
        <bgColor rgb="FFEEEEEE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/>
      <bottom style="thin">
        <color rgb="FFBBBBB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5" fillId="0" borderId="0" xfId="0" applyFont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0" fillId="0" borderId="0" xfId="0" applyFont="1"/>
    <xf numFmtId="0" fontId="12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0" fontId="12" fillId="4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 wrapText="1"/>
    </xf>
  </cellXfs>
  <cellStyles count="1">
    <cellStyle name="표준" xfId="0" builtinId="0"/>
  </cellStyles>
  <dxfs count="7">
    <dxf>
      <fill>
        <patternFill>
          <bgColor rgb="FFF8CBCB"/>
        </patternFill>
      </fill>
    </dxf>
    <dxf>
      <fill>
        <patternFill>
          <bgColor rgb="FFF8CBCB"/>
        </patternFill>
      </fill>
    </dxf>
    <dxf>
      <fill>
        <patternFill>
          <bgColor rgb="FFF8CBCB"/>
        </patternFill>
      </fill>
    </dxf>
    <dxf>
      <fill>
        <patternFill>
          <bgColor rgb="FFF8CBCB"/>
        </patternFill>
      </fill>
    </dxf>
    <dxf>
      <fill>
        <patternFill>
          <bgColor rgb="FFF8CBCB"/>
        </patternFill>
      </fill>
    </dxf>
    <dxf>
      <fill>
        <patternFill>
          <bgColor rgb="FFF8CBCB"/>
        </patternFill>
      </fill>
    </dxf>
    <dxf>
      <fill>
        <patternFill>
          <bgColor rgb="FFF8CBC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BBBBB"/>
      <rgbColor rgb="FF808080"/>
      <rgbColor rgb="FF9999FF"/>
      <rgbColor rgb="FF993366"/>
      <rgbColor rgb="FFFFF2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FFF99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833C00"/>
      <rgbColor rgb="FF993366"/>
      <rgbColor rgb="FF1F4E7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1CDF7BA-5C60-458C-A233-E4F2268ABD65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7c4065b9-0c3e-4ab0-9a0e-814c0a8abd1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showGridLines="0" topLeftCell="A46" zoomScaleNormal="100" workbookViewId="0"/>
  </sheetViews>
  <sheetFormatPr defaultColWidth="8.6640625" defaultRowHeight="14.4"/>
  <cols>
    <col min="1" max="1" width="118" customWidth="1"/>
    <col min="2" max="2" width="14" customWidth="1"/>
    <col min="3" max="5" width="12" customWidth="1"/>
  </cols>
  <sheetData>
    <row r="1" spans="1:1" ht="21" customHeight="1">
      <c r="A1" s="5" t="s">
        <v>0</v>
      </c>
    </row>
    <row r="2" spans="1:1" ht="15" customHeight="1">
      <c r="A2" s="6" t="s">
        <v>1</v>
      </c>
    </row>
    <row r="3" spans="1:1" ht="15" customHeight="1">
      <c r="A3" s="7"/>
    </row>
    <row r="4" spans="1:1" ht="16.5" customHeight="1">
      <c r="A4" s="8" t="s">
        <v>2</v>
      </c>
    </row>
    <row r="5" spans="1:1" ht="15" customHeight="1">
      <c r="A5" s="7" t="s">
        <v>3</v>
      </c>
    </row>
    <row r="6" spans="1:1" ht="15" customHeight="1">
      <c r="A6" s="7" t="s">
        <v>4</v>
      </c>
    </row>
    <row r="7" spans="1:1" ht="15" customHeight="1">
      <c r="A7" s="9" t="s">
        <v>5</v>
      </c>
    </row>
    <row r="8" spans="1:1" ht="15" customHeight="1">
      <c r="A8" s="7"/>
    </row>
    <row r="9" spans="1:1" ht="16.5" customHeight="1">
      <c r="A9" s="8" t="s">
        <v>6</v>
      </c>
    </row>
    <row r="10" spans="1:1" ht="15" customHeight="1">
      <c r="A10" s="7" t="s">
        <v>7</v>
      </c>
    </row>
    <row r="11" spans="1:1" ht="15" customHeight="1">
      <c r="A11" s="7" t="s">
        <v>8</v>
      </c>
    </row>
    <row r="12" spans="1:1" ht="15" customHeight="1">
      <c r="A12" s="7" t="s">
        <v>9</v>
      </c>
    </row>
    <row r="13" spans="1:1" ht="15" customHeight="1">
      <c r="A13" s="7" t="s">
        <v>10</v>
      </c>
    </row>
    <row r="14" spans="1:1" ht="15" customHeight="1">
      <c r="A14" s="7" t="s">
        <v>11</v>
      </c>
    </row>
    <row r="15" spans="1:1" ht="15" customHeight="1">
      <c r="A15" s="7" t="s">
        <v>12</v>
      </c>
    </row>
    <row r="16" spans="1:1" ht="15" customHeight="1">
      <c r="A16" s="7" t="s">
        <v>13</v>
      </c>
    </row>
    <row r="17" spans="1:1" ht="15" customHeight="1">
      <c r="A17" s="7" t="s">
        <v>14</v>
      </c>
    </row>
    <row r="18" spans="1:1" ht="15" customHeight="1">
      <c r="A18" s="7"/>
    </row>
    <row r="19" spans="1:1" ht="15" customHeight="1">
      <c r="A19" s="8" t="s">
        <v>15</v>
      </c>
    </row>
    <row r="20" spans="1:1" ht="15" customHeight="1">
      <c r="A20" s="9" t="s">
        <v>16</v>
      </c>
    </row>
    <row r="21" spans="1:1" ht="15" customHeight="1">
      <c r="A21" s="9" t="s">
        <v>17</v>
      </c>
    </row>
    <row r="22" spans="1:1" ht="15" customHeight="1">
      <c r="A22" s="9" t="s">
        <v>18</v>
      </c>
    </row>
    <row r="23" spans="1:1" ht="15" customHeight="1">
      <c r="A23" s="9" t="s">
        <v>19</v>
      </c>
    </row>
    <row r="24" spans="1:1" ht="15" customHeight="1">
      <c r="A24" s="7"/>
    </row>
    <row r="25" spans="1:1" ht="15" customHeight="1">
      <c r="A25" s="8" t="s">
        <v>20</v>
      </c>
    </row>
    <row r="26" spans="1:1" ht="15" customHeight="1">
      <c r="A26" s="7" t="s">
        <v>21</v>
      </c>
    </row>
    <row r="27" spans="1:1" ht="15" customHeight="1">
      <c r="A27" s="9" t="s">
        <v>22</v>
      </c>
    </row>
    <row r="28" spans="1:1" ht="15" customHeight="1">
      <c r="A28" s="7" t="s">
        <v>23</v>
      </c>
    </row>
    <row r="29" spans="1:1" ht="15" customHeight="1">
      <c r="A29" s="7" t="s">
        <v>24</v>
      </c>
    </row>
    <row r="30" spans="1:1" ht="15" customHeight="1">
      <c r="A30" s="7"/>
    </row>
    <row r="31" spans="1:1" ht="16.5" customHeight="1">
      <c r="A31" s="8" t="s">
        <v>25</v>
      </c>
    </row>
    <row r="32" spans="1:1" ht="15" customHeight="1">
      <c r="A32" s="7" t="s">
        <v>26</v>
      </c>
    </row>
    <row r="33" spans="1:1" ht="15" customHeight="1">
      <c r="A33" s="7" t="s">
        <v>27</v>
      </c>
    </row>
    <row r="34" spans="1:1" ht="15" customHeight="1">
      <c r="A34" s="7" t="s">
        <v>28</v>
      </c>
    </row>
    <row r="35" spans="1:1" ht="15" customHeight="1">
      <c r="A35" s="7" t="s">
        <v>29</v>
      </c>
    </row>
    <row r="36" spans="1:1" ht="15" customHeight="1">
      <c r="A36" s="7" t="s">
        <v>30</v>
      </c>
    </row>
    <row r="37" spans="1:1" ht="15" customHeight="1">
      <c r="A37" s="7" t="s">
        <v>31</v>
      </c>
    </row>
    <row r="38" spans="1:1" ht="15" customHeight="1">
      <c r="A38" s="7" t="s">
        <v>32</v>
      </c>
    </row>
    <row r="39" spans="1:1" ht="15" customHeight="1">
      <c r="A39" s="7" t="s">
        <v>33</v>
      </c>
    </row>
    <row r="40" spans="1:1" ht="15" customHeight="1">
      <c r="A40" s="7"/>
    </row>
    <row r="41" spans="1:1" ht="15" customHeight="1">
      <c r="A41" s="8" t="s">
        <v>34</v>
      </c>
    </row>
    <row r="42" spans="1:1" ht="15" customHeight="1">
      <c r="A42" s="7" t="s">
        <v>35</v>
      </c>
    </row>
    <row r="43" spans="1:1" ht="15" customHeight="1">
      <c r="A43" s="7" t="s">
        <v>36</v>
      </c>
    </row>
    <row r="44" spans="1:1" ht="15" customHeight="1">
      <c r="A44" s="7" t="s">
        <v>37</v>
      </c>
    </row>
    <row r="45" spans="1:1" ht="15" customHeight="1">
      <c r="A45" s="9" t="s">
        <v>38</v>
      </c>
    </row>
    <row r="46" spans="1:1" ht="15" customHeight="1">
      <c r="A46" s="7" t="s">
        <v>39</v>
      </c>
    </row>
    <row r="47" spans="1:1" ht="15" customHeight="1">
      <c r="A47" s="7" t="s">
        <v>40</v>
      </c>
    </row>
    <row r="48" spans="1:1" ht="15" customHeight="1">
      <c r="A48" s="7" t="s">
        <v>41</v>
      </c>
    </row>
    <row r="49" spans="1:5" ht="15" customHeight="1">
      <c r="A49" s="7" t="s">
        <v>42</v>
      </c>
    </row>
    <row r="50" spans="1:5" ht="15" customHeight="1">
      <c r="A50" s="9" t="s">
        <v>43</v>
      </c>
    </row>
    <row r="51" spans="1:5" ht="15" customHeight="1">
      <c r="A51" s="9" t="s">
        <v>44</v>
      </c>
    </row>
    <row r="52" spans="1:5" ht="15" customHeight="1">
      <c r="A52" s="7"/>
    </row>
    <row r="53" spans="1:5" ht="15" customHeight="1">
      <c r="A53" s="8" t="s">
        <v>45</v>
      </c>
    </row>
    <row r="54" spans="1:5" ht="15" customHeight="1">
      <c r="B54" s="10" t="s">
        <v>46</v>
      </c>
      <c r="C54" s="10" t="s">
        <v>47</v>
      </c>
      <c r="D54" s="10" t="s">
        <v>48</v>
      </c>
      <c r="E54" s="10" t="s">
        <v>49</v>
      </c>
    </row>
    <row r="55" spans="1:5" ht="15" customHeight="1">
      <c r="B55" s="11" t="s">
        <v>50</v>
      </c>
      <c r="C55" s="12">
        <f>COUNTA('01_rules'!$A$2:$A$40)</f>
        <v>38</v>
      </c>
      <c r="D55" s="11">
        <v>25</v>
      </c>
      <c r="E55" s="12">
        <f t="shared" ref="E55:E61" si="0">MAX(0,D55-C55)</f>
        <v>0</v>
      </c>
    </row>
    <row r="56" spans="1:5" ht="15" customHeight="1">
      <c r="B56" s="11" t="s">
        <v>51</v>
      </c>
      <c r="C56" s="12">
        <f>COUNTA('02_eval'!$A$2:$A$45)</f>
        <v>44</v>
      </c>
      <c r="D56" s="11">
        <v>30</v>
      </c>
      <c r="E56" s="12">
        <f t="shared" si="0"/>
        <v>0</v>
      </c>
    </row>
    <row r="57" spans="1:5" ht="15" customHeight="1">
      <c r="B57" s="11" t="s">
        <v>52</v>
      </c>
      <c r="C57" s="12">
        <f>COUNTA('03_units'!$B$2:$B$31)</f>
        <v>20</v>
      </c>
      <c r="D57" s="11">
        <v>3</v>
      </c>
      <c r="E57" s="12">
        <f t="shared" si="0"/>
        <v>0</v>
      </c>
    </row>
    <row r="58" spans="1:5" ht="15" customHeight="1">
      <c r="B58" s="11" t="s">
        <v>53</v>
      </c>
      <c r="C58" s="12">
        <f>COUNTA('04_patterns'!$A$2:$A$401)</f>
        <v>400</v>
      </c>
      <c r="D58" s="11">
        <v>20</v>
      </c>
      <c r="E58" s="12">
        <f t="shared" si="0"/>
        <v>0</v>
      </c>
    </row>
    <row r="59" spans="1:5" ht="15" customHeight="1">
      <c r="B59" s="11" t="s">
        <v>54</v>
      </c>
      <c r="C59" s="12">
        <f>COUNTA('05_words'!$A$2:$A$601)</f>
        <v>401</v>
      </c>
      <c r="D59" s="11">
        <v>40</v>
      </c>
      <c r="E59" s="12">
        <f t="shared" si="0"/>
        <v>0</v>
      </c>
    </row>
    <row r="60" spans="1:5" ht="15" customHeight="1">
      <c r="B60" s="11" t="s">
        <v>55</v>
      </c>
      <c r="C60" s="12">
        <f>COUNTA('06_errors'!$A$2:$A$401)</f>
        <v>400</v>
      </c>
      <c r="D60" s="11">
        <v>40</v>
      </c>
      <c r="E60" s="12">
        <f t="shared" si="0"/>
        <v>0</v>
      </c>
    </row>
    <row r="61" spans="1:5" ht="15" customHeight="1">
      <c r="B61" s="11" t="s">
        <v>56</v>
      </c>
      <c r="C61" s="12">
        <f>COUNTA('07_faq'!$A$2:$A$40)</f>
        <v>39</v>
      </c>
      <c r="D61" s="11">
        <v>30</v>
      </c>
      <c r="E61" s="12">
        <f t="shared" si="0"/>
        <v>0</v>
      </c>
    </row>
    <row r="63" spans="1:5" ht="15" customHeight="1">
      <c r="A63" s="8" t="s">
        <v>57</v>
      </c>
    </row>
    <row r="64" spans="1:5" ht="15" customHeight="1">
      <c r="A64" s="9" t="s">
        <v>58</v>
      </c>
    </row>
    <row r="65" spans="1:1" ht="15" customHeight="1">
      <c r="A65" s="7" t="s">
        <v>59</v>
      </c>
    </row>
    <row r="66" spans="1:1" ht="15" customHeight="1">
      <c r="A66" s="9" t="s">
        <v>60</v>
      </c>
    </row>
    <row r="67" spans="1:1" ht="15" customHeight="1">
      <c r="A67" s="7"/>
    </row>
    <row r="68" spans="1:1" ht="16.5" customHeight="1">
      <c r="A68" s="8" t="s">
        <v>61</v>
      </c>
    </row>
    <row r="69" spans="1:1" ht="15" customHeight="1">
      <c r="A69" s="7" t="s">
        <v>62</v>
      </c>
    </row>
    <row r="70" spans="1:1" ht="15" customHeight="1">
      <c r="A70" s="7" t="s">
        <v>63</v>
      </c>
    </row>
    <row r="71" spans="1:1" ht="15" customHeight="1">
      <c r="A71" s="7" t="s">
        <v>64</v>
      </c>
    </row>
    <row r="72" spans="1:1" ht="15" customHeight="1">
      <c r="A72" s="7"/>
    </row>
    <row r="73" spans="1:1" ht="16.5" customHeight="1">
      <c r="A73" s="13" t="s">
        <v>65</v>
      </c>
    </row>
    <row r="74" spans="1:1" ht="15" customHeight="1">
      <c r="A74" s="9" t="s">
        <v>66</v>
      </c>
    </row>
    <row r="75" spans="1:1" ht="15" customHeight="1">
      <c r="A75" s="9" t="s">
        <v>67</v>
      </c>
    </row>
    <row r="76" spans="1:1" ht="15" customHeight="1">
      <c r="A76" s="7"/>
    </row>
    <row r="77" spans="1:1" ht="16.5" customHeight="1">
      <c r="A77" s="13" t="s">
        <v>68</v>
      </c>
    </row>
    <row r="78" spans="1:1" ht="15" customHeight="1">
      <c r="A78" s="7" t="s">
        <v>69</v>
      </c>
    </row>
    <row r="79" spans="1:1" ht="15" customHeight="1">
      <c r="A79" s="7" t="s">
        <v>70</v>
      </c>
    </row>
    <row r="80" spans="1:1" ht="15" customHeight="1">
      <c r="A80" s="7" t="s">
        <v>71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5"/>
  <sheetViews>
    <sheetView zoomScaleNormal="100" workbookViewId="0">
      <pane ySplit="1" topLeftCell="A20" activePane="bottomLeft" state="frozen"/>
      <selection pane="bottomLeft" activeCell="N24" sqref="N24"/>
    </sheetView>
  </sheetViews>
  <sheetFormatPr defaultColWidth="8.6640625" defaultRowHeight="14.4"/>
  <cols>
    <col min="1" max="1" width="8" customWidth="1"/>
    <col min="2" max="2" width="21.44140625" customWidth="1"/>
    <col min="3" max="3" width="8" customWidth="1"/>
    <col min="4" max="4" width="62" customWidth="1"/>
    <col min="5" max="5" width="22" customWidth="1"/>
    <col min="6" max="6" width="34" customWidth="1"/>
    <col min="7" max="7" width="26" customWidth="1"/>
    <col min="8" max="8" width="22" customWidth="1"/>
    <col min="9" max="9" width="11" customWidth="1"/>
    <col min="10" max="10" width="9" customWidth="1"/>
    <col min="11" max="11" width="22" customWidth="1"/>
    <col min="12" max="13" width="11" customWidth="1"/>
    <col min="14" max="14" width="13" customWidth="1"/>
    <col min="15" max="15" width="12" customWidth="1"/>
  </cols>
  <sheetData>
    <row r="1" spans="1:15" ht="31.5" customHeight="1">
      <c r="A1" s="14" t="s">
        <v>72</v>
      </c>
      <c r="B1" s="14" t="s">
        <v>73</v>
      </c>
      <c r="C1" s="14" t="s">
        <v>74</v>
      </c>
      <c r="D1" s="14" t="s">
        <v>75</v>
      </c>
      <c r="E1" s="14" t="s">
        <v>76</v>
      </c>
      <c r="F1" s="14" t="s">
        <v>77</v>
      </c>
      <c r="G1" s="14" t="s">
        <v>78</v>
      </c>
      <c r="H1" s="15" t="s">
        <v>79</v>
      </c>
      <c r="I1" s="15" t="s">
        <v>80</v>
      </c>
      <c r="J1" s="15" t="s">
        <v>81</v>
      </c>
      <c r="K1" s="15" t="s">
        <v>82</v>
      </c>
      <c r="L1" s="16" t="s">
        <v>83</v>
      </c>
      <c r="M1" s="16" t="s">
        <v>84</v>
      </c>
      <c r="N1" s="16" t="s">
        <v>85</v>
      </c>
      <c r="O1" s="16" t="s">
        <v>86</v>
      </c>
    </row>
    <row r="2" spans="1:15" ht="46.8" customHeight="1">
      <c r="A2" s="17" t="s">
        <v>87</v>
      </c>
      <c r="B2" s="18" t="s">
        <v>88</v>
      </c>
      <c r="C2" s="17" t="s">
        <v>89</v>
      </c>
      <c r="D2" s="18" t="s">
        <v>90</v>
      </c>
      <c r="E2" s="18" t="s">
        <v>91</v>
      </c>
      <c r="F2" s="17" t="s">
        <v>92</v>
      </c>
      <c r="G2" s="17" t="s">
        <v>93</v>
      </c>
      <c r="H2" s="19" t="s">
        <v>94</v>
      </c>
      <c r="I2" s="19" t="s">
        <v>95</v>
      </c>
      <c r="J2" s="19"/>
      <c r="K2" s="19"/>
      <c r="L2" s="20" t="str">
        <f t="shared" ref="L2:L39" si="0">IF(A2="","",IF(COUNTIF($A$2:$A$39,A2)&gt;1,"중복",""))</f>
        <v/>
      </c>
      <c r="M2" s="20" t="str">
        <f t="shared" ref="M2:M41" si="1">IF(D2="","",IF(OR(LEN(D2)&lt;80,LEN(D2)&gt;200),LEN(D2),""))</f>
        <v/>
      </c>
      <c r="N2" s="21" t="str">
        <f>IF(A2="","",IFERROR(INDEX('03_units'!$B$2:$B$21,MATCH("*"&amp;A2&amp;"*",'03_units'!$F$2:$F$21,0)),"미참조"))</f>
        <v>Unit01</v>
      </c>
      <c r="O2" s="20" t="str">
        <f t="shared" ref="O2:O41" si="2">IF(A2="","",IF(OR(C2="ALL",C2=N2),"","unit 불일치"))</f>
        <v/>
      </c>
    </row>
    <row r="3" spans="1:15" ht="46.8" customHeight="1">
      <c r="A3" s="17" t="s">
        <v>96</v>
      </c>
      <c r="B3" s="18" t="s">
        <v>97</v>
      </c>
      <c r="C3" s="17" t="s">
        <v>89</v>
      </c>
      <c r="D3" s="18" t="s">
        <v>98</v>
      </c>
      <c r="E3" s="18" t="s">
        <v>99</v>
      </c>
      <c r="F3" s="17" t="s">
        <v>100</v>
      </c>
      <c r="G3" s="17" t="s">
        <v>101</v>
      </c>
      <c r="H3" s="19" t="s">
        <v>94</v>
      </c>
      <c r="I3" s="19" t="s">
        <v>95</v>
      </c>
      <c r="J3" s="19"/>
      <c r="K3" s="19"/>
      <c r="L3" s="20" t="str">
        <f t="shared" si="0"/>
        <v/>
      </c>
      <c r="M3" s="20" t="str">
        <f t="shared" si="1"/>
        <v/>
      </c>
      <c r="N3" s="21" t="str">
        <f>IF(A3="","",IFERROR(INDEX('03_units'!$B$2:$B$21,MATCH("*"&amp;A3&amp;"*",'03_units'!$F$2:$F$21,0)),"미참조"))</f>
        <v>Unit01</v>
      </c>
      <c r="O3" s="20" t="str">
        <f t="shared" si="2"/>
        <v/>
      </c>
    </row>
    <row r="4" spans="1:15" ht="46.8" customHeight="1">
      <c r="A4" s="17" t="s">
        <v>102</v>
      </c>
      <c r="B4" s="18" t="s">
        <v>103</v>
      </c>
      <c r="C4" s="17" t="s">
        <v>104</v>
      </c>
      <c r="D4" s="18" t="s">
        <v>105</v>
      </c>
      <c r="E4" s="18" t="s">
        <v>106</v>
      </c>
      <c r="F4" s="17" t="s">
        <v>107</v>
      </c>
      <c r="G4" s="17" t="s">
        <v>108</v>
      </c>
      <c r="H4" s="19" t="s">
        <v>94</v>
      </c>
      <c r="I4" s="19" t="s">
        <v>95</v>
      </c>
      <c r="J4" s="19"/>
      <c r="K4" s="19"/>
      <c r="L4" s="20" t="str">
        <f t="shared" si="0"/>
        <v/>
      </c>
      <c r="M4" s="20" t="str">
        <f t="shared" si="1"/>
        <v/>
      </c>
      <c r="N4" s="21" t="str">
        <f>IF(A4="","",IFERROR(INDEX('03_units'!$B$2:$B$21,MATCH("*"&amp;A4&amp;"*",'03_units'!$F$2:$F$21,0)),"미참조"))</f>
        <v>Unit02</v>
      </c>
      <c r="O4" s="20" t="str">
        <f t="shared" si="2"/>
        <v/>
      </c>
    </row>
    <row r="5" spans="1:15" ht="46.8" customHeight="1">
      <c r="A5" s="17" t="s">
        <v>109</v>
      </c>
      <c r="B5" s="18" t="s">
        <v>110</v>
      </c>
      <c r="C5" s="17" t="s">
        <v>104</v>
      </c>
      <c r="D5" s="18" t="s">
        <v>111</v>
      </c>
      <c r="E5" s="18" t="s">
        <v>112</v>
      </c>
      <c r="F5" s="17" t="s">
        <v>113</v>
      </c>
      <c r="G5" s="17" t="s">
        <v>114</v>
      </c>
      <c r="H5" s="19" t="s">
        <v>94</v>
      </c>
      <c r="I5" s="19" t="s">
        <v>95</v>
      </c>
      <c r="J5" s="19"/>
      <c r="K5" s="19"/>
      <c r="L5" s="20" t="str">
        <f t="shared" si="0"/>
        <v/>
      </c>
      <c r="M5" s="20" t="str">
        <f t="shared" si="1"/>
        <v/>
      </c>
      <c r="N5" s="21" t="str">
        <f>IF(A5="","",IFERROR(INDEX('03_units'!$B$2:$B$21,MATCH("*"&amp;A5&amp;"*",'03_units'!$F$2:$F$21,0)),"미참조"))</f>
        <v>Unit02</v>
      </c>
      <c r="O5" s="20" t="str">
        <f t="shared" si="2"/>
        <v/>
      </c>
    </row>
    <row r="6" spans="1:15" ht="46.8" customHeight="1">
      <c r="A6" s="17" t="s">
        <v>115</v>
      </c>
      <c r="B6" s="18" t="s">
        <v>116</v>
      </c>
      <c r="C6" s="17" t="s">
        <v>117</v>
      </c>
      <c r="D6" s="18" t="s">
        <v>118</v>
      </c>
      <c r="E6" s="18" t="s">
        <v>119</v>
      </c>
      <c r="F6" s="17" t="s">
        <v>120</v>
      </c>
      <c r="G6" s="17" t="s">
        <v>121</v>
      </c>
      <c r="H6" s="19" t="s">
        <v>94</v>
      </c>
      <c r="I6" s="19" t="s">
        <v>95</v>
      </c>
      <c r="J6" s="19"/>
      <c r="K6" s="19"/>
      <c r="L6" s="20" t="str">
        <f t="shared" si="0"/>
        <v/>
      </c>
      <c r="M6" s="20" t="str">
        <f t="shared" si="1"/>
        <v/>
      </c>
      <c r="N6" s="21" t="str">
        <f>IF(A6="","",IFERROR(INDEX('03_units'!$B$2:$B$21,MATCH("*"&amp;A6&amp;"*",'03_units'!$F$2:$F$21,0)),"미참조"))</f>
        <v>Unit03</v>
      </c>
      <c r="O6" s="20" t="str">
        <f t="shared" si="2"/>
        <v/>
      </c>
    </row>
    <row r="7" spans="1:15" ht="46.8" customHeight="1">
      <c r="A7" s="17" t="s">
        <v>122</v>
      </c>
      <c r="B7" s="18" t="s">
        <v>123</v>
      </c>
      <c r="C7" s="17" t="s">
        <v>117</v>
      </c>
      <c r="D7" s="18" t="s">
        <v>124</v>
      </c>
      <c r="E7" s="18" t="s">
        <v>125</v>
      </c>
      <c r="F7" s="17" t="s">
        <v>126</v>
      </c>
      <c r="G7" s="17" t="s">
        <v>127</v>
      </c>
      <c r="H7" s="19" t="s">
        <v>94</v>
      </c>
      <c r="I7" s="19" t="s">
        <v>95</v>
      </c>
      <c r="J7" s="19"/>
      <c r="K7" s="19"/>
      <c r="L7" s="20" t="str">
        <f t="shared" si="0"/>
        <v/>
      </c>
      <c r="M7" s="20" t="str">
        <f t="shared" si="1"/>
        <v/>
      </c>
      <c r="N7" s="21" t="str">
        <f>IF(A7="","",IFERROR(INDEX('03_units'!$B$2:$B$21,MATCH("*"&amp;A7&amp;"*",'03_units'!$F$2:$F$21,0)),"미참조"))</f>
        <v>Unit03</v>
      </c>
      <c r="O7" s="20" t="str">
        <f t="shared" si="2"/>
        <v/>
      </c>
    </row>
    <row r="8" spans="1:15" ht="46.8" customHeight="1">
      <c r="A8" s="17" t="s">
        <v>128</v>
      </c>
      <c r="B8" s="18" t="s">
        <v>129</v>
      </c>
      <c r="C8" s="17" t="s">
        <v>130</v>
      </c>
      <c r="D8" s="18" t="s">
        <v>131</v>
      </c>
      <c r="E8" s="18" t="s">
        <v>132</v>
      </c>
      <c r="F8" s="17" t="s">
        <v>133</v>
      </c>
      <c r="G8" s="17" t="s">
        <v>134</v>
      </c>
      <c r="H8" s="19" t="s">
        <v>94</v>
      </c>
      <c r="I8" s="19" t="s">
        <v>95</v>
      </c>
      <c r="J8" s="19"/>
      <c r="K8" s="19"/>
      <c r="L8" s="20" t="str">
        <f t="shared" si="0"/>
        <v/>
      </c>
      <c r="M8" s="20" t="str">
        <f t="shared" si="1"/>
        <v/>
      </c>
      <c r="N8" s="21" t="str">
        <f>IF(A8="","",IFERROR(INDEX('03_units'!$B$2:$B$21,MATCH("*"&amp;A8&amp;"*",'03_units'!$F$2:$F$21,0)),"미참조"))</f>
        <v>Unit04</v>
      </c>
      <c r="O8" s="20" t="str">
        <f t="shared" si="2"/>
        <v/>
      </c>
    </row>
    <row r="9" spans="1:15" ht="46.8" customHeight="1">
      <c r="A9" s="17" t="s">
        <v>135</v>
      </c>
      <c r="B9" s="18" t="s">
        <v>136</v>
      </c>
      <c r="C9" s="17" t="s">
        <v>130</v>
      </c>
      <c r="D9" s="18" t="s">
        <v>137</v>
      </c>
      <c r="E9" s="18" t="s">
        <v>138</v>
      </c>
      <c r="F9" s="17" t="s">
        <v>139</v>
      </c>
      <c r="G9" s="17" t="s">
        <v>140</v>
      </c>
      <c r="H9" s="19" t="s">
        <v>94</v>
      </c>
      <c r="I9" s="19" t="s">
        <v>95</v>
      </c>
      <c r="J9" s="19"/>
      <c r="K9" s="19"/>
      <c r="L9" s="20" t="str">
        <f t="shared" si="0"/>
        <v/>
      </c>
      <c r="M9" s="20" t="str">
        <f t="shared" si="1"/>
        <v/>
      </c>
      <c r="N9" s="21" t="str">
        <f>IF(A9="","",IFERROR(INDEX('03_units'!$B$2:$B$21,MATCH("*"&amp;A9&amp;"*",'03_units'!$F$2:$F$21,0)),"미참조"))</f>
        <v>Unit04</v>
      </c>
      <c r="O9" s="20" t="str">
        <f t="shared" si="2"/>
        <v/>
      </c>
    </row>
    <row r="10" spans="1:15" ht="46.8" customHeight="1">
      <c r="A10" s="17" t="s">
        <v>141</v>
      </c>
      <c r="B10" s="18" t="s">
        <v>142</v>
      </c>
      <c r="C10" s="17" t="s">
        <v>143</v>
      </c>
      <c r="D10" s="18" t="s">
        <v>144</v>
      </c>
      <c r="E10" s="18" t="s">
        <v>145</v>
      </c>
      <c r="F10" s="17" t="s">
        <v>146</v>
      </c>
      <c r="G10" s="17" t="s">
        <v>147</v>
      </c>
      <c r="H10" s="19" t="s">
        <v>94</v>
      </c>
      <c r="I10" s="19" t="s">
        <v>95</v>
      </c>
      <c r="J10" s="19"/>
      <c r="K10" s="19"/>
      <c r="L10" s="20" t="str">
        <f t="shared" si="0"/>
        <v/>
      </c>
      <c r="M10" s="20" t="str">
        <f t="shared" si="1"/>
        <v/>
      </c>
      <c r="N10" s="21" t="str">
        <f>IF(A10="","",IFERROR(INDEX('03_units'!$B$2:$B$21,MATCH("*"&amp;A10&amp;"*",'03_units'!$F$2:$F$21,0)),"미참조"))</f>
        <v>Unit05</v>
      </c>
      <c r="O10" s="20" t="str">
        <f t="shared" si="2"/>
        <v/>
      </c>
    </row>
    <row r="11" spans="1:15" ht="46.8" customHeight="1">
      <c r="A11" s="17" t="s">
        <v>148</v>
      </c>
      <c r="B11" s="18" t="s">
        <v>149</v>
      </c>
      <c r="C11" s="17" t="s">
        <v>143</v>
      </c>
      <c r="D11" s="18" t="s">
        <v>150</v>
      </c>
      <c r="E11" s="18" t="s">
        <v>151</v>
      </c>
      <c r="F11" s="17" t="s">
        <v>152</v>
      </c>
      <c r="G11" s="17" t="s">
        <v>153</v>
      </c>
      <c r="H11" s="19" t="s">
        <v>94</v>
      </c>
      <c r="I11" s="19" t="s">
        <v>95</v>
      </c>
      <c r="J11" s="19"/>
      <c r="K11" s="19"/>
      <c r="L11" s="20" t="str">
        <f t="shared" si="0"/>
        <v/>
      </c>
      <c r="M11" s="20" t="str">
        <f t="shared" si="1"/>
        <v/>
      </c>
      <c r="N11" s="21" t="str">
        <f>IF(A11="","",IFERROR(INDEX('03_units'!$B$2:$B$21,MATCH("*"&amp;A11&amp;"*",'03_units'!$F$2:$F$21,0)),"미참조"))</f>
        <v>Unit05</v>
      </c>
      <c r="O11" s="20" t="str">
        <f t="shared" si="2"/>
        <v/>
      </c>
    </row>
    <row r="12" spans="1:15" ht="46.8" customHeight="1">
      <c r="A12" s="17" t="s">
        <v>154</v>
      </c>
      <c r="B12" s="18" t="s">
        <v>155</v>
      </c>
      <c r="C12" s="17" t="s">
        <v>156</v>
      </c>
      <c r="D12" s="18" t="s">
        <v>157</v>
      </c>
      <c r="E12" s="18" t="s">
        <v>158</v>
      </c>
      <c r="F12" s="17" t="s">
        <v>159</v>
      </c>
      <c r="G12" s="17" t="s">
        <v>160</v>
      </c>
      <c r="H12" s="19" t="s">
        <v>94</v>
      </c>
      <c r="I12" s="19" t="s">
        <v>95</v>
      </c>
      <c r="J12" s="19"/>
      <c r="K12" s="19"/>
      <c r="L12" s="20" t="str">
        <f t="shared" si="0"/>
        <v/>
      </c>
      <c r="M12" s="20" t="str">
        <f t="shared" si="1"/>
        <v/>
      </c>
      <c r="N12" s="21" t="str">
        <f>IF(A12="","",IFERROR(INDEX('03_units'!$B$2:$B$21,MATCH("*"&amp;A12&amp;"*",'03_units'!$F$2:$F$21,0)),"미참조"))</f>
        <v>Unit06</v>
      </c>
      <c r="O12" s="20" t="str">
        <f t="shared" si="2"/>
        <v/>
      </c>
    </row>
    <row r="13" spans="1:15" ht="46.8" customHeight="1">
      <c r="A13" s="17" t="s">
        <v>161</v>
      </c>
      <c r="B13" s="18" t="s">
        <v>162</v>
      </c>
      <c r="C13" s="17" t="s">
        <v>163</v>
      </c>
      <c r="D13" s="18" t="s">
        <v>164</v>
      </c>
      <c r="E13" s="18" t="s">
        <v>165</v>
      </c>
      <c r="F13" s="17" t="s">
        <v>166</v>
      </c>
      <c r="G13" s="17" t="s">
        <v>167</v>
      </c>
      <c r="H13" s="19" t="s">
        <v>94</v>
      </c>
      <c r="I13" s="19" t="s">
        <v>95</v>
      </c>
      <c r="J13" s="19"/>
      <c r="K13" s="19"/>
      <c r="L13" s="20" t="str">
        <f t="shared" si="0"/>
        <v/>
      </c>
      <c r="M13" s="20" t="str">
        <f t="shared" si="1"/>
        <v/>
      </c>
      <c r="N13" s="21" t="str">
        <f>IF(A13="","",IFERROR(INDEX('03_units'!$B$2:$B$21,MATCH("*"&amp;A13&amp;"*",'03_units'!$F$2:$F$21,0)),"미참조"))</f>
        <v>Unit07</v>
      </c>
      <c r="O13" s="20" t="str">
        <f t="shared" si="2"/>
        <v/>
      </c>
    </row>
    <row r="14" spans="1:15" ht="46.8" customHeight="1">
      <c r="A14" s="17" t="s">
        <v>168</v>
      </c>
      <c r="B14" s="18" t="s">
        <v>169</v>
      </c>
      <c r="C14" s="17" t="s">
        <v>163</v>
      </c>
      <c r="D14" s="18" t="s">
        <v>170</v>
      </c>
      <c r="E14" s="18" t="s">
        <v>171</v>
      </c>
      <c r="F14" s="17" t="s">
        <v>172</v>
      </c>
      <c r="G14" s="17" t="s">
        <v>173</v>
      </c>
      <c r="H14" s="19" t="s">
        <v>94</v>
      </c>
      <c r="I14" s="19" t="s">
        <v>95</v>
      </c>
      <c r="J14" s="19"/>
      <c r="K14" s="19"/>
      <c r="L14" s="20" t="str">
        <f t="shared" si="0"/>
        <v/>
      </c>
      <c r="M14" s="20" t="str">
        <f t="shared" si="1"/>
        <v/>
      </c>
      <c r="N14" s="21" t="str">
        <f>IF(A14="","",IFERROR(INDEX('03_units'!$B$2:$B$21,MATCH("*"&amp;A14&amp;"*",'03_units'!$F$2:$F$21,0)),"미참조"))</f>
        <v>Unit07</v>
      </c>
      <c r="O14" s="20" t="str">
        <f t="shared" si="2"/>
        <v/>
      </c>
    </row>
    <row r="15" spans="1:15" ht="46.8" customHeight="1">
      <c r="A15" s="17" t="s">
        <v>174</v>
      </c>
      <c r="B15" s="18" t="s">
        <v>175</v>
      </c>
      <c r="C15" s="17" t="s">
        <v>176</v>
      </c>
      <c r="D15" s="18" t="s">
        <v>177</v>
      </c>
      <c r="E15" s="18" t="s">
        <v>178</v>
      </c>
      <c r="F15" s="17" t="s">
        <v>179</v>
      </c>
      <c r="G15" s="17" t="s">
        <v>180</v>
      </c>
      <c r="H15" s="19" t="s">
        <v>94</v>
      </c>
      <c r="I15" s="19" t="s">
        <v>95</v>
      </c>
      <c r="J15" s="19"/>
      <c r="K15" s="19"/>
      <c r="L15" s="20" t="str">
        <f t="shared" si="0"/>
        <v/>
      </c>
      <c r="M15" s="20" t="str">
        <f t="shared" si="1"/>
        <v/>
      </c>
      <c r="N15" s="21" t="str">
        <f>IF(A15="","",IFERROR(INDEX('03_units'!$B$2:$B$21,MATCH("*"&amp;A15&amp;"*",'03_units'!$F$2:$F$21,0)),"미참조"))</f>
        <v>Unit08</v>
      </c>
      <c r="O15" s="20" t="str">
        <f t="shared" si="2"/>
        <v/>
      </c>
    </row>
    <row r="16" spans="1:15" ht="46.8" customHeight="1">
      <c r="A16" s="17" t="s">
        <v>181</v>
      </c>
      <c r="B16" s="18" t="s">
        <v>182</v>
      </c>
      <c r="C16" s="17" t="s">
        <v>176</v>
      </c>
      <c r="D16" s="18" t="s">
        <v>183</v>
      </c>
      <c r="E16" s="18" t="s">
        <v>184</v>
      </c>
      <c r="F16" s="17" t="s">
        <v>185</v>
      </c>
      <c r="G16" s="17" t="s">
        <v>186</v>
      </c>
      <c r="H16" s="19" t="s">
        <v>94</v>
      </c>
      <c r="I16" s="19" t="s">
        <v>95</v>
      </c>
      <c r="J16" s="19"/>
      <c r="K16" s="19"/>
      <c r="L16" s="20" t="str">
        <f t="shared" si="0"/>
        <v/>
      </c>
      <c r="M16" s="20" t="str">
        <f t="shared" si="1"/>
        <v/>
      </c>
      <c r="N16" s="21" t="str">
        <f>IF(A16="","",IFERROR(INDEX('03_units'!$B$2:$B$21,MATCH("*"&amp;A16&amp;"*",'03_units'!$F$2:$F$21,0)),"미참조"))</f>
        <v>Unit08</v>
      </c>
      <c r="O16" s="20" t="str">
        <f t="shared" si="2"/>
        <v/>
      </c>
    </row>
    <row r="17" spans="1:15" ht="46.8" customHeight="1">
      <c r="A17" s="17" t="s">
        <v>187</v>
      </c>
      <c r="B17" s="18" t="s">
        <v>188</v>
      </c>
      <c r="C17" s="17" t="s">
        <v>189</v>
      </c>
      <c r="D17" s="18" t="s">
        <v>190</v>
      </c>
      <c r="E17" s="18" t="s">
        <v>191</v>
      </c>
      <c r="F17" s="17" t="s">
        <v>192</v>
      </c>
      <c r="G17" s="17" t="s">
        <v>193</v>
      </c>
      <c r="H17" s="19" t="s">
        <v>94</v>
      </c>
      <c r="I17" s="19" t="s">
        <v>95</v>
      </c>
      <c r="J17" s="19"/>
      <c r="K17" s="19"/>
      <c r="L17" s="20" t="str">
        <f t="shared" si="0"/>
        <v/>
      </c>
      <c r="M17" s="20" t="str">
        <f t="shared" si="1"/>
        <v/>
      </c>
      <c r="N17" s="21" t="str">
        <f>IF(A17="","",IFERROR(INDEX('03_units'!$B$2:$B$21,MATCH("*"&amp;A17&amp;"*",'03_units'!$F$2:$F$21,0)),"미참조"))</f>
        <v>Unit09</v>
      </c>
      <c r="O17" s="20" t="str">
        <f t="shared" si="2"/>
        <v/>
      </c>
    </row>
    <row r="18" spans="1:15" ht="46.8" customHeight="1">
      <c r="A18" s="17" t="s">
        <v>194</v>
      </c>
      <c r="B18" s="18" t="s">
        <v>195</v>
      </c>
      <c r="C18" s="17" t="s">
        <v>196</v>
      </c>
      <c r="D18" s="18" t="s">
        <v>197</v>
      </c>
      <c r="E18" s="18" t="s">
        <v>198</v>
      </c>
      <c r="F18" s="17" t="s">
        <v>199</v>
      </c>
      <c r="G18" s="17" t="s">
        <v>200</v>
      </c>
      <c r="H18" s="19" t="s">
        <v>94</v>
      </c>
      <c r="I18" s="19" t="s">
        <v>95</v>
      </c>
      <c r="J18" s="19"/>
      <c r="K18" s="19"/>
      <c r="L18" s="20" t="str">
        <f t="shared" si="0"/>
        <v/>
      </c>
      <c r="M18" s="20" t="str">
        <f t="shared" si="1"/>
        <v/>
      </c>
      <c r="N18" s="21" t="str">
        <f>IF(A18="","",IFERROR(INDEX('03_units'!$B$2:$B$21,MATCH("*"&amp;A18&amp;"*",'03_units'!$F$2:$F$21,0)),"미참조"))</f>
        <v>Unit10</v>
      </c>
      <c r="O18" s="20" t="str">
        <f t="shared" si="2"/>
        <v/>
      </c>
    </row>
    <row r="19" spans="1:15" ht="46.8" customHeight="1">
      <c r="A19" s="17" t="s">
        <v>201</v>
      </c>
      <c r="B19" s="18" t="s">
        <v>202</v>
      </c>
      <c r="C19" s="17" t="s">
        <v>203</v>
      </c>
      <c r="D19" s="18" t="s">
        <v>204</v>
      </c>
      <c r="E19" s="18" t="s">
        <v>205</v>
      </c>
      <c r="F19" s="17" t="s">
        <v>206</v>
      </c>
      <c r="G19" s="17" t="s">
        <v>207</v>
      </c>
      <c r="H19" s="19" t="s">
        <v>94</v>
      </c>
      <c r="I19" s="19" t="s">
        <v>95</v>
      </c>
      <c r="J19" s="19"/>
      <c r="K19" s="19"/>
      <c r="L19" s="20" t="str">
        <f t="shared" si="0"/>
        <v/>
      </c>
      <c r="M19" s="20" t="str">
        <f t="shared" si="1"/>
        <v/>
      </c>
      <c r="N19" s="21" t="str">
        <f>IF(A19="","",IFERROR(INDEX('03_units'!$B$2:$B$21,MATCH("*"&amp;A19&amp;"*",'03_units'!$F$2:$F$21,0)),"미참조"))</f>
        <v>Unit11</v>
      </c>
      <c r="O19" s="20" t="str">
        <f t="shared" si="2"/>
        <v/>
      </c>
    </row>
    <row r="20" spans="1:15" ht="46.8" customHeight="1">
      <c r="A20" s="17" t="s">
        <v>208</v>
      </c>
      <c r="B20" s="18" t="s">
        <v>209</v>
      </c>
      <c r="C20" s="17" t="s">
        <v>210</v>
      </c>
      <c r="D20" s="18" t="s">
        <v>211</v>
      </c>
      <c r="E20" s="18" t="s">
        <v>212</v>
      </c>
      <c r="F20" s="17" t="s">
        <v>213</v>
      </c>
      <c r="G20" s="17" t="s">
        <v>214</v>
      </c>
      <c r="H20" s="19" t="s">
        <v>94</v>
      </c>
      <c r="I20" s="19" t="s">
        <v>95</v>
      </c>
      <c r="J20" s="19"/>
      <c r="K20" s="19"/>
      <c r="L20" s="20" t="str">
        <f t="shared" si="0"/>
        <v/>
      </c>
      <c r="M20" s="20" t="str">
        <f t="shared" si="1"/>
        <v/>
      </c>
      <c r="N20" s="21" t="str">
        <f>IF(A20="","",IFERROR(INDEX('03_units'!$B$2:$B$21,MATCH("*"&amp;A20&amp;"*",'03_units'!$F$2:$F$21,0)),"미참조"))</f>
        <v>Unit12</v>
      </c>
      <c r="O20" s="20" t="str">
        <f t="shared" si="2"/>
        <v/>
      </c>
    </row>
    <row r="21" spans="1:15" ht="46.8" customHeight="1">
      <c r="A21" s="17" t="s">
        <v>215</v>
      </c>
      <c r="B21" s="18" t="s">
        <v>216</v>
      </c>
      <c r="C21" s="17" t="s">
        <v>217</v>
      </c>
      <c r="D21" s="18" t="s">
        <v>218</v>
      </c>
      <c r="E21" s="18" t="s">
        <v>219</v>
      </c>
      <c r="F21" s="17" t="s">
        <v>220</v>
      </c>
      <c r="G21" s="17" t="s">
        <v>221</v>
      </c>
      <c r="H21" s="19" t="s">
        <v>94</v>
      </c>
      <c r="I21" s="19" t="s">
        <v>95</v>
      </c>
      <c r="J21" s="19"/>
      <c r="K21" s="19"/>
      <c r="L21" s="20" t="str">
        <f t="shared" si="0"/>
        <v/>
      </c>
      <c r="M21" s="20" t="str">
        <f t="shared" si="1"/>
        <v/>
      </c>
      <c r="N21" s="21" t="str">
        <f>IF(A21="","",IFERROR(INDEX('03_units'!$B$2:$B$21,MATCH("*"&amp;A21&amp;"*",'03_units'!$F$2:$F$21,0)),"미참조"))</f>
        <v>Unit13</v>
      </c>
      <c r="O21" s="20" t="str">
        <f t="shared" si="2"/>
        <v/>
      </c>
    </row>
    <row r="22" spans="1:15" ht="46.8" customHeight="1">
      <c r="A22" s="17" t="s">
        <v>222</v>
      </c>
      <c r="B22" s="18" t="s">
        <v>223</v>
      </c>
      <c r="C22" s="17" t="s">
        <v>224</v>
      </c>
      <c r="D22" s="18" t="s">
        <v>225</v>
      </c>
      <c r="E22" s="18" t="s">
        <v>226</v>
      </c>
      <c r="F22" s="17" t="s">
        <v>227</v>
      </c>
      <c r="G22" s="17" t="s">
        <v>228</v>
      </c>
      <c r="H22" s="19" t="s">
        <v>94</v>
      </c>
      <c r="I22" s="19" t="s">
        <v>95</v>
      </c>
      <c r="J22" s="19"/>
      <c r="K22" s="19"/>
      <c r="L22" s="20" t="str">
        <f t="shared" si="0"/>
        <v/>
      </c>
      <c r="M22" s="20" t="str">
        <f t="shared" si="1"/>
        <v/>
      </c>
      <c r="N22" s="21" t="str">
        <f>IF(A22="","",IFERROR(INDEX('03_units'!$B$2:$B$21,MATCH("*"&amp;A22&amp;"*",'03_units'!$F$2:$F$21,0)),"미참조"))</f>
        <v>Unit14</v>
      </c>
      <c r="O22" s="20" t="str">
        <f t="shared" si="2"/>
        <v/>
      </c>
    </row>
    <row r="23" spans="1:15" ht="46.8" customHeight="1">
      <c r="A23" s="17" t="s">
        <v>229</v>
      </c>
      <c r="B23" s="18" t="s">
        <v>230</v>
      </c>
      <c r="C23" s="17" t="s">
        <v>224</v>
      </c>
      <c r="D23" s="18" t="s">
        <v>231</v>
      </c>
      <c r="E23" s="18" t="s">
        <v>232</v>
      </c>
      <c r="F23" s="17" t="s">
        <v>233</v>
      </c>
      <c r="G23" s="17" t="s">
        <v>234</v>
      </c>
      <c r="H23" s="19" t="s">
        <v>94</v>
      </c>
      <c r="I23" s="19" t="s">
        <v>95</v>
      </c>
      <c r="J23" s="19"/>
      <c r="K23" s="19"/>
      <c r="L23" s="20" t="str">
        <f t="shared" si="0"/>
        <v/>
      </c>
      <c r="M23" s="20" t="str">
        <f t="shared" si="1"/>
        <v/>
      </c>
      <c r="N23" s="21" t="str">
        <f>IF(A23="","",IFERROR(INDEX('03_units'!$B$2:$B$21,MATCH("*"&amp;A23&amp;"*",'03_units'!$F$2:$F$21,0)),"미참조"))</f>
        <v>Unit14</v>
      </c>
      <c r="O23" s="20" t="str">
        <f t="shared" si="2"/>
        <v/>
      </c>
    </row>
    <row r="24" spans="1:15" ht="46.8" customHeight="1">
      <c r="A24" s="17" t="s">
        <v>235</v>
      </c>
      <c r="B24" s="18" t="s">
        <v>236</v>
      </c>
      <c r="C24" s="17" t="s">
        <v>237</v>
      </c>
      <c r="D24" s="18" t="s">
        <v>238</v>
      </c>
      <c r="E24" s="18" t="s">
        <v>239</v>
      </c>
      <c r="F24" s="17" t="s">
        <v>240</v>
      </c>
      <c r="G24" s="17" t="s">
        <v>241</v>
      </c>
      <c r="H24" s="19" t="s">
        <v>94</v>
      </c>
      <c r="I24" s="19" t="s">
        <v>95</v>
      </c>
      <c r="J24" s="19"/>
      <c r="K24" s="19"/>
      <c r="L24" s="20" t="str">
        <f t="shared" si="0"/>
        <v/>
      </c>
      <c r="M24" s="20" t="str">
        <f t="shared" si="1"/>
        <v/>
      </c>
      <c r="N24" s="21" t="str">
        <f>IF(A24="","",IFERROR(INDEX('03_units'!$B$2:$B$21,MATCH("*"&amp;A24&amp;"*",'03_units'!$F$2:$F$21,0)),"미참조"))</f>
        <v>Unit15</v>
      </c>
      <c r="O24" s="20" t="str">
        <f t="shared" si="2"/>
        <v/>
      </c>
    </row>
    <row r="25" spans="1:15" ht="46.8" customHeight="1">
      <c r="A25" s="17" t="s">
        <v>242</v>
      </c>
      <c r="B25" s="18" t="s">
        <v>243</v>
      </c>
      <c r="C25" s="17" t="s">
        <v>244</v>
      </c>
      <c r="D25" s="18" t="s">
        <v>245</v>
      </c>
      <c r="E25" s="18" t="s">
        <v>246</v>
      </c>
      <c r="F25" s="17" t="s">
        <v>247</v>
      </c>
      <c r="G25" s="17" t="s">
        <v>248</v>
      </c>
      <c r="H25" s="19" t="s">
        <v>94</v>
      </c>
      <c r="I25" s="19" t="s">
        <v>95</v>
      </c>
      <c r="J25" s="19"/>
      <c r="K25" s="19"/>
      <c r="L25" s="20" t="str">
        <f t="shared" si="0"/>
        <v/>
      </c>
      <c r="M25" s="20" t="str">
        <f t="shared" si="1"/>
        <v/>
      </c>
      <c r="N25" s="21" t="str">
        <f>IF(A25="","",IFERROR(INDEX('03_units'!$B$2:$B$21,MATCH("*"&amp;A25&amp;"*",'03_units'!$F$2:$F$21,0)),"미참조"))</f>
        <v>Unit16</v>
      </c>
      <c r="O25" s="20" t="str">
        <f t="shared" si="2"/>
        <v/>
      </c>
    </row>
    <row r="26" spans="1:15" ht="46.8" customHeight="1">
      <c r="A26" s="17" t="s">
        <v>249</v>
      </c>
      <c r="B26" s="18" t="s">
        <v>250</v>
      </c>
      <c r="C26" s="17" t="s">
        <v>251</v>
      </c>
      <c r="D26" s="18" t="s">
        <v>252</v>
      </c>
      <c r="E26" s="18" t="s">
        <v>253</v>
      </c>
      <c r="F26" s="17" t="s">
        <v>254</v>
      </c>
      <c r="G26" s="17" t="s">
        <v>255</v>
      </c>
      <c r="H26" s="19" t="s">
        <v>94</v>
      </c>
      <c r="I26" s="19" t="s">
        <v>95</v>
      </c>
      <c r="J26" s="19"/>
      <c r="K26" s="19"/>
      <c r="L26" s="20" t="str">
        <f t="shared" si="0"/>
        <v/>
      </c>
      <c r="M26" s="20" t="str">
        <f t="shared" si="1"/>
        <v/>
      </c>
      <c r="N26" s="21" t="str">
        <f>IF(A26="","",IFERROR(INDEX('03_units'!$B$2:$B$21,MATCH("*"&amp;A26&amp;"*",'03_units'!$F$2:$F$21,0)),"미참조"))</f>
        <v>Unit17</v>
      </c>
      <c r="O26" s="20" t="str">
        <f t="shared" si="2"/>
        <v/>
      </c>
    </row>
    <row r="27" spans="1:15" ht="46.8" customHeight="1">
      <c r="A27" s="17" t="s">
        <v>256</v>
      </c>
      <c r="B27" s="18" t="s">
        <v>257</v>
      </c>
      <c r="C27" s="17" t="s">
        <v>251</v>
      </c>
      <c r="D27" s="18" t="s">
        <v>258</v>
      </c>
      <c r="E27" s="18" t="s">
        <v>259</v>
      </c>
      <c r="F27" s="17" t="s">
        <v>260</v>
      </c>
      <c r="G27" s="17" t="s">
        <v>261</v>
      </c>
      <c r="H27" s="19" t="s">
        <v>94</v>
      </c>
      <c r="I27" s="19" t="s">
        <v>95</v>
      </c>
      <c r="J27" s="19"/>
      <c r="K27" s="19"/>
      <c r="L27" s="20" t="str">
        <f t="shared" si="0"/>
        <v/>
      </c>
      <c r="M27" s="20" t="str">
        <f t="shared" si="1"/>
        <v/>
      </c>
      <c r="N27" s="21" t="str">
        <f>IF(A27="","",IFERROR(INDEX('03_units'!$B$2:$B$21,MATCH("*"&amp;A27&amp;"*",'03_units'!$F$2:$F$21,0)),"미참조"))</f>
        <v>Unit17</v>
      </c>
      <c r="O27" s="20" t="str">
        <f t="shared" si="2"/>
        <v/>
      </c>
    </row>
    <row r="28" spans="1:15" ht="46.8" customHeight="1">
      <c r="A28" s="17" t="s">
        <v>262</v>
      </c>
      <c r="B28" s="18" t="s">
        <v>263</v>
      </c>
      <c r="C28" s="17" t="s">
        <v>264</v>
      </c>
      <c r="D28" s="18" t="s">
        <v>265</v>
      </c>
      <c r="E28" s="18" t="s">
        <v>266</v>
      </c>
      <c r="F28" s="17" t="s">
        <v>267</v>
      </c>
      <c r="G28" s="17" t="s">
        <v>268</v>
      </c>
      <c r="H28" s="19" t="s">
        <v>94</v>
      </c>
      <c r="I28" s="19" t="s">
        <v>95</v>
      </c>
      <c r="J28" s="19"/>
      <c r="K28" s="19"/>
      <c r="L28" s="20" t="str">
        <f t="shared" si="0"/>
        <v/>
      </c>
      <c r="M28" s="20" t="str">
        <f t="shared" si="1"/>
        <v/>
      </c>
      <c r="N28" s="21" t="str">
        <f>IF(A28="","",IFERROR(INDEX('03_units'!$B$2:$B$21,MATCH("*"&amp;A28&amp;"*",'03_units'!$F$2:$F$21,0)),"미참조"))</f>
        <v>Unit18</v>
      </c>
      <c r="O28" s="20" t="str">
        <f t="shared" si="2"/>
        <v/>
      </c>
    </row>
    <row r="29" spans="1:15" ht="46.8" customHeight="1">
      <c r="A29" s="17" t="s">
        <v>269</v>
      </c>
      <c r="B29" s="18" t="s">
        <v>270</v>
      </c>
      <c r="C29" s="17" t="s">
        <v>264</v>
      </c>
      <c r="D29" s="18" t="s">
        <v>271</v>
      </c>
      <c r="E29" s="18" t="s">
        <v>272</v>
      </c>
      <c r="F29" s="17" t="s">
        <v>273</v>
      </c>
      <c r="G29" s="17" t="s">
        <v>274</v>
      </c>
      <c r="H29" s="19" t="s">
        <v>94</v>
      </c>
      <c r="I29" s="19" t="s">
        <v>95</v>
      </c>
      <c r="J29" s="19"/>
      <c r="K29" s="19"/>
      <c r="L29" s="20" t="str">
        <f t="shared" si="0"/>
        <v/>
      </c>
      <c r="M29" s="20" t="str">
        <f t="shared" si="1"/>
        <v/>
      </c>
      <c r="N29" s="21" t="str">
        <f>IF(A29="","",IFERROR(INDEX('03_units'!$B$2:$B$21,MATCH("*"&amp;A29&amp;"*",'03_units'!$F$2:$F$21,0)),"미참조"))</f>
        <v>Unit18</v>
      </c>
      <c r="O29" s="20" t="str">
        <f t="shared" si="2"/>
        <v/>
      </c>
    </row>
    <row r="30" spans="1:15" ht="46.8" customHeight="1">
      <c r="A30" s="17" t="s">
        <v>275</v>
      </c>
      <c r="B30" s="18" t="s">
        <v>276</v>
      </c>
      <c r="C30" s="17" t="s">
        <v>277</v>
      </c>
      <c r="D30" s="18" t="s">
        <v>278</v>
      </c>
      <c r="E30" s="18" t="s">
        <v>279</v>
      </c>
      <c r="F30" s="17" t="s">
        <v>280</v>
      </c>
      <c r="G30" s="17" t="s">
        <v>281</v>
      </c>
      <c r="H30" s="19" t="s">
        <v>94</v>
      </c>
      <c r="I30" s="19" t="s">
        <v>95</v>
      </c>
      <c r="J30" s="19"/>
      <c r="K30" s="19"/>
      <c r="L30" s="20" t="str">
        <f t="shared" si="0"/>
        <v/>
      </c>
      <c r="M30" s="20" t="str">
        <f t="shared" si="1"/>
        <v/>
      </c>
      <c r="N30" s="21" t="str">
        <f>IF(A30="","",IFERROR(INDEX('03_units'!$B$2:$B$21,MATCH("*"&amp;A30&amp;"*",'03_units'!$F$2:$F$21,0)),"미참조"))</f>
        <v>Unit19</v>
      </c>
      <c r="O30" s="20" t="str">
        <f t="shared" si="2"/>
        <v/>
      </c>
    </row>
    <row r="31" spans="1:15" ht="46.8" customHeight="1">
      <c r="A31" s="17" t="s">
        <v>282</v>
      </c>
      <c r="B31" s="18" t="s">
        <v>283</v>
      </c>
      <c r="C31" s="17" t="s">
        <v>284</v>
      </c>
      <c r="D31" s="18" t="s">
        <v>285</v>
      </c>
      <c r="E31" s="18" t="s">
        <v>286</v>
      </c>
      <c r="F31" s="17" t="s">
        <v>287</v>
      </c>
      <c r="G31" s="17" t="s">
        <v>288</v>
      </c>
      <c r="H31" s="19" t="s">
        <v>94</v>
      </c>
      <c r="I31" s="19" t="s">
        <v>95</v>
      </c>
      <c r="J31" s="19"/>
      <c r="K31" s="19"/>
      <c r="L31" s="20" t="str">
        <f t="shared" si="0"/>
        <v/>
      </c>
      <c r="M31" s="20" t="str">
        <f t="shared" si="1"/>
        <v/>
      </c>
      <c r="N31" s="21" t="str">
        <f>IF(A31="","",IFERROR(INDEX('03_units'!$B$2:$B$21,MATCH("*"&amp;A31&amp;"*",'03_units'!$F$2:$F$21,0)),"미참조"))</f>
        <v>Unit20</v>
      </c>
      <c r="O31" s="20" t="str">
        <f t="shared" si="2"/>
        <v/>
      </c>
    </row>
    <row r="32" spans="1:15" ht="46.8" customHeight="1">
      <c r="A32" s="17" t="s">
        <v>289</v>
      </c>
      <c r="B32" s="18" t="s">
        <v>290</v>
      </c>
      <c r="C32" s="17" t="s">
        <v>291</v>
      </c>
      <c r="D32" s="18" t="s">
        <v>292</v>
      </c>
      <c r="E32" s="18" t="s">
        <v>293</v>
      </c>
      <c r="F32" s="17" t="s">
        <v>294</v>
      </c>
      <c r="G32" s="17" t="s">
        <v>295</v>
      </c>
      <c r="H32" s="19" t="s">
        <v>296</v>
      </c>
      <c r="I32" s="19" t="s">
        <v>95</v>
      </c>
      <c r="J32" s="19"/>
      <c r="K32" s="19"/>
      <c r="L32" s="20" t="str">
        <f t="shared" si="0"/>
        <v/>
      </c>
      <c r="M32" s="20" t="str">
        <f t="shared" si="1"/>
        <v/>
      </c>
      <c r="N32" s="21" t="str">
        <f>IF(A32="","",IFERROR(INDEX('03_units'!$B$2:$B$21,MATCH("*"&amp;A32&amp;"*",'03_units'!$F$2:$F$21,0)),"미참조"))</f>
        <v>미참조</v>
      </c>
      <c r="O32" s="20" t="str">
        <f t="shared" si="2"/>
        <v>unit 불일치</v>
      </c>
    </row>
    <row r="33" spans="1:15" ht="46.8" customHeight="1">
      <c r="A33" s="17" t="s">
        <v>297</v>
      </c>
      <c r="B33" s="18" t="s">
        <v>298</v>
      </c>
      <c r="C33" s="17" t="s">
        <v>299</v>
      </c>
      <c r="D33" s="18" t="s">
        <v>300</v>
      </c>
      <c r="E33" s="18" t="s">
        <v>301</v>
      </c>
      <c r="F33" s="17" t="s">
        <v>302</v>
      </c>
      <c r="G33" s="17" t="s">
        <v>303</v>
      </c>
      <c r="H33" s="19" t="s">
        <v>296</v>
      </c>
      <c r="I33" s="19" t="s">
        <v>95</v>
      </c>
      <c r="J33" s="19"/>
      <c r="K33" s="19"/>
      <c r="L33" s="20" t="str">
        <f t="shared" si="0"/>
        <v/>
      </c>
      <c r="M33" s="20" t="str">
        <f t="shared" si="1"/>
        <v/>
      </c>
      <c r="N33" s="21" t="str">
        <f>IF(A33="","",IFERROR(INDEX('03_units'!$B$2:$B$21,MATCH("*"&amp;A33&amp;"*",'03_units'!$F$2:$F$21,0)),"미참조"))</f>
        <v>Unit01</v>
      </c>
      <c r="O33" s="20" t="str">
        <f t="shared" si="2"/>
        <v/>
      </c>
    </row>
    <row r="34" spans="1:15" ht="46.8" customHeight="1">
      <c r="A34" s="17" t="s">
        <v>304</v>
      </c>
      <c r="B34" s="18" t="s">
        <v>305</v>
      </c>
      <c r="C34" s="17" t="s">
        <v>291</v>
      </c>
      <c r="D34" s="18" t="s">
        <v>306</v>
      </c>
      <c r="E34" s="18" t="s">
        <v>307</v>
      </c>
      <c r="F34" s="17" t="s">
        <v>308</v>
      </c>
      <c r="G34" s="17" t="s">
        <v>309</v>
      </c>
      <c r="H34" s="19" t="s">
        <v>296</v>
      </c>
      <c r="I34" s="19" t="s">
        <v>95</v>
      </c>
      <c r="J34" s="19"/>
      <c r="K34" s="19"/>
      <c r="L34" s="20" t="str">
        <f t="shared" si="0"/>
        <v/>
      </c>
      <c r="M34" s="20" t="str">
        <f t="shared" si="1"/>
        <v/>
      </c>
      <c r="N34" s="21" t="str">
        <f>IF(A34="","",IFERROR(INDEX('03_units'!$B$2:$B$21,MATCH("*"&amp;A34&amp;"*",'03_units'!$F$2:$F$21,0)),"미참조"))</f>
        <v>미참조</v>
      </c>
      <c r="O34" s="20" t="str">
        <f t="shared" si="2"/>
        <v>unit 불일치</v>
      </c>
    </row>
    <row r="35" spans="1:15" ht="46.8" customHeight="1">
      <c r="A35" s="17" t="s">
        <v>310</v>
      </c>
      <c r="B35" s="18" t="s">
        <v>311</v>
      </c>
      <c r="C35" s="17" t="s">
        <v>299</v>
      </c>
      <c r="D35" s="18" t="s">
        <v>312</v>
      </c>
      <c r="E35" s="18" t="s">
        <v>313</v>
      </c>
      <c r="F35" s="17" t="s">
        <v>314</v>
      </c>
      <c r="G35" s="17" t="s">
        <v>315</v>
      </c>
      <c r="H35" s="19" t="s">
        <v>296</v>
      </c>
      <c r="I35" s="19" t="s">
        <v>95</v>
      </c>
      <c r="J35" s="19"/>
      <c r="K35" s="19"/>
      <c r="L35" s="20" t="str">
        <f t="shared" si="0"/>
        <v/>
      </c>
      <c r="M35" s="20" t="str">
        <f t="shared" si="1"/>
        <v/>
      </c>
      <c r="N35" s="21" t="str">
        <f>IF(A35="","",IFERROR(INDEX('03_units'!$B$2:$B$21,MATCH("*"&amp;A35&amp;"*",'03_units'!$F$2:$F$21,0)),"미참조"))</f>
        <v>Unit02</v>
      </c>
      <c r="O35" s="20" t="str">
        <f t="shared" si="2"/>
        <v/>
      </c>
    </row>
    <row r="36" spans="1:15" ht="46.8" customHeight="1">
      <c r="A36" s="17" t="s">
        <v>316</v>
      </c>
      <c r="B36" s="18" t="s">
        <v>317</v>
      </c>
      <c r="C36" s="17" t="s">
        <v>318</v>
      </c>
      <c r="D36" s="18" t="s">
        <v>319</v>
      </c>
      <c r="E36" s="18" t="s">
        <v>320</v>
      </c>
      <c r="F36" s="17" t="s">
        <v>321</v>
      </c>
      <c r="G36" s="17" t="s">
        <v>322</v>
      </c>
      <c r="H36" s="19" t="s">
        <v>296</v>
      </c>
      <c r="I36" s="19" t="s">
        <v>95</v>
      </c>
      <c r="J36" s="19"/>
      <c r="K36" s="19"/>
      <c r="L36" s="20" t="str">
        <f t="shared" si="0"/>
        <v/>
      </c>
      <c r="M36" s="20" t="str">
        <f t="shared" si="1"/>
        <v/>
      </c>
      <c r="N36" s="21" t="str">
        <f>IF(A36="","",IFERROR(INDEX('03_units'!$B$2:$B$21,MATCH("*"&amp;A36&amp;"*",'03_units'!$F$2:$F$21,0)),"미참조"))</f>
        <v>미참조</v>
      </c>
      <c r="O36" s="20" t="str">
        <f t="shared" si="2"/>
        <v>unit 불일치</v>
      </c>
    </row>
    <row r="37" spans="1:15" ht="46.8" customHeight="1">
      <c r="A37" s="17" t="s">
        <v>323</v>
      </c>
      <c r="B37" s="18" t="s">
        <v>324</v>
      </c>
      <c r="C37" s="17" t="s">
        <v>299</v>
      </c>
      <c r="D37" s="18" t="s">
        <v>325</v>
      </c>
      <c r="E37" s="18" t="s">
        <v>326</v>
      </c>
      <c r="F37" s="17" t="s">
        <v>327</v>
      </c>
      <c r="G37" s="17" t="s">
        <v>328</v>
      </c>
      <c r="H37" s="19" t="s">
        <v>296</v>
      </c>
      <c r="I37" s="19" t="s">
        <v>95</v>
      </c>
      <c r="J37" s="19"/>
      <c r="K37" s="19"/>
      <c r="L37" s="20" t="str">
        <f t="shared" si="0"/>
        <v/>
      </c>
      <c r="M37" s="20" t="str">
        <f t="shared" si="1"/>
        <v/>
      </c>
      <c r="N37" s="21" t="str">
        <f>IF(A37="","",IFERROR(INDEX('03_units'!$B$2:$B$21,MATCH("*"&amp;A37&amp;"*",'03_units'!$F$2:$F$21,0)),"미참조"))</f>
        <v>Unit10</v>
      </c>
      <c r="O37" s="20" t="str">
        <f t="shared" si="2"/>
        <v/>
      </c>
    </row>
    <row r="38" spans="1:15" ht="46.8" customHeight="1">
      <c r="A38" s="17" t="s">
        <v>329</v>
      </c>
      <c r="B38" s="18" t="s">
        <v>290</v>
      </c>
      <c r="C38" s="17" t="s">
        <v>299</v>
      </c>
      <c r="D38" s="18" t="s">
        <v>330</v>
      </c>
      <c r="E38" s="18" t="s">
        <v>331</v>
      </c>
      <c r="F38" s="17" t="s">
        <v>332</v>
      </c>
      <c r="G38" s="17" t="s">
        <v>333</v>
      </c>
      <c r="H38" s="19" t="s">
        <v>296</v>
      </c>
      <c r="I38" s="19" t="s">
        <v>95</v>
      </c>
      <c r="J38" s="19"/>
      <c r="K38" s="19"/>
      <c r="L38" s="20" t="str">
        <f t="shared" si="0"/>
        <v/>
      </c>
      <c r="M38" s="20" t="str">
        <f t="shared" si="1"/>
        <v/>
      </c>
      <c r="N38" s="21" t="str">
        <f>IF(A38="","",IFERROR(INDEX('03_units'!$B$2:$B$21,MATCH("*"&amp;A38&amp;"*",'03_units'!$F$2:$F$21,0)),"미참조"))</f>
        <v>Unit14</v>
      </c>
      <c r="O38" s="20" t="str">
        <f t="shared" si="2"/>
        <v/>
      </c>
    </row>
    <row r="39" spans="1:15" ht="46.8" customHeight="1">
      <c r="A39" s="17" t="s">
        <v>334</v>
      </c>
      <c r="B39" s="18" t="s">
        <v>311</v>
      </c>
      <c r="C39" s="17" t="s">
        <v>299</v>
      </c>
      <c r="D39" s="18" t="s">
        <v>335</v>
      </c>
      <c r="E39" s="18" t="s">
        <v>336</v>
      </c>
      <c r="F39" s="17" t="s">
        <v>337</v>
      </c>
      <c r="G39" s="17" t="s">
        <v>338</v>
      </c>
      <c r="H39" s="19" t="s">
        <v>296</v>
      </c>
      <c r="I39" s="19" t="s">
        <v>95</v>
      </c>
      <c r="J39" s="19"/>
      <c r="K39" s="19"/>
      <c r="L39" s="20" t="str">
        <f t="shared" si="0"/>
        <v/>
      </c>
      <c r="M39" s="20" t="str">
        <f t="shared" si="1"/>
        <v/>
      </c>
      <c r="N39" s="21" t="str">
        <f>IF(A39="","",IFERROR(INDEX('03_units'!$B$2:$B$21,MATCH("*"&amp;A39&amp;"*",'03_units'!$F$2:$F$21,0)),"미참조"))</f>
        <v>Unit01</v>
      </c>
      <c r="O39" s="20" t="str">
        <f t="shared" si="2"/>
        <v/>
      </c>
    </row>
    <row r="40" spans="1:15" ht="15" customHeight="1">
      <c r="A40" s="17"/>
      <c r="B40" s="17"/>
      <c r="C40" s="17"/>
      <c r="D40" s="17"/>
      <c r="E40" s="17"/>
      <c r="F40" s="17"/>
      <c r="G40" s="17"/>
      <c r="H40" s="19"/>
      <c r="I40" s="19"/>
      <c r="J40" s="19"/>
      <c r="K40" s="19"/>
      <c r="L40" s="20" t="str">
        <f>IF(A40="","",IF(COUNTIF($A$2:$A$41,A40)&gt;1,"중복",""))</f>
        <v/>
      </c>
      <c r="M40" s="20" t="str">
        <f t="shared" si="1"/>
        <v/>
      </c>
      <c r="N40" s="21" t="str">
        <f>IF(A40="","",IFERROR(INDEX('03_units'!$B$2:$B$7,MATCH("*"&amp;A40&amp;"*",'03_units'!$F$2:$F$7,0)),"미참조"))</f>
        <v/>
      </c>
      <c r="O40" s="20" t="str">
        <f t="shared" si="2"/>
        <v/>
      </c>
    </row>
    <row r="41" spans="1:15" ht="15" customHeight="1">
      <c r="A41" s="17"/>
      <c r="B41" s="17"/>
      <c r="C41" s="17"/>
      <c r="D41" s="17"/>
      <c r="E41" s="17"/>
      <c r="F41" s="17"/>
      <c r="G41" s="17"/>
      <c r="H41" s="19"/>
      <c r="I41" s="19"/>
      <c r="J41" s="19"/>
      <c r="K41" s="19"/>
      <c r="L41" s="20" t="str">
        <f>IF(A41="","",IF(COUNTIF($A$2:$A$41,A41)&gt;1,"중복",""))</f>
        <v/>
      </c>
      <c r="M41" s="20" t="str">
        <f t="shared" si="1"/>
        <v/>
      </c>
      <c r="N41" s="21" t="str">
        <f>IF(A41="","",IFERROR(INDEX('03_units'!$B$2:$B$7,MATCH("*"&amp;A41&amp;"*",'03_units'!$F$2:$F$7,0)),"미참조"))</f>
        <v/>
      </c>
      <c r="O41" s="20" t="str">
        <f t="shared" si="2"/>
        <v/>
      </c>
    </row>
    <row r="43" spans="1:15" ht="15" customHeight="1">
      <c r="A43" s="3" t="s">
        <v>339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ht="1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ht="1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</sheetData>
  <mergeCells count="1">
    <mergeCell ref="A43:O45"/>
  </mergeCells>
  <phoneticPr fontId="16" type="noConversion"/>
  <conditionalFormatting sqref="L2:M41">
    <cfRule type="expression" dxfId="6" priority="2">
      <formula>AND(L2&lt;&gt;"",L2&lt;&gt;"OK")</formula>
    </cfRule>
  </conditionalFormatting>
  <conditionalFormatting sqref="O2:O41">
    <cfRule type="expression" dxfId="5" priority="3">
      <formula>AND(O2&lt;&gt;"",O2&lt;&gt;"OK")</formula>
    </cfRule>
  </conditionalFormatting>
  <dataValidations count="2">
    <dataValidation type="list" allowBlank="1" sqref="I2:I41" xr:uid="{00000000-0002-0000-0100-000000000000}">
      <formula1>"미검수,확인,수정필요"</formula1>
      <formula2>0</formula2>
    </dataValidation>
    <dataValidation type="list" allowBlank="1" sqref="B2:B41" xr:uid="{00000000-0002-0000-0100-000001000000}">
      <formula1>"과거시제,3인칭단수,명사복수형,관사,현재진행형,be동사일치"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8"/>
  <sheetViews>
    <sheetView zoomScaleNormal="100" workbookViewId="0">
      <pane ySplit="1" topLeftCell="A55" activePane="bottomLeft" state="frozen"/>
      <selection pane="bottomLeft" activeCell="A2" sqref="A2:XFD73"/>
    </sheetView>
  </sheetViews>
  <sheetFormatPr defaultColWidth="8.6640625" defaultRowHeight="14.4"/>
  <cols>
    <col min="1" max="1" width="40" customWidth="1"/>
    <col min="2" max="2" width="18" customWidth="1"/>
    <col min="3" max="3" width="49.44140625" customWidth="1"/>
    <col min="4" max="4" width="10" customWidth="1"/>
    <col min="5" max="5" width="11" customWidth="1"/>
    <col min="6" max="6" width="13" customWidth="1"/>
    <col min="7" max="7" width="14" customWidth="1"/>
  </cols>
  <sheetData>
    <row r="1" spans="1:7" ht="31.5" customHeight="1">
      <c r="A1" s="14" t="s">
        <v>75</v>
      </c>
      <c r="B1" s="14" t="s">
        <v>340</v>
      </c>
      <c r="C1" s="14" t="s">
        <v>341</v>
      </c>
      <c r="D1" s="15" t="s">
        <v>342</v>
      </c>
      <c r="E1" s="15" t="s">
        <v>80</v>
      </c>
      <c r="F1" s="16" t="s">
        <v>343</v>
      </c>
      <c r="G1" s="16" t="s">
        <v>344</v>
      </c>
    </row>
    <row r="2" spans="1:7" ht="20.399999999999999" customHeight="1">
      <c r="A2" s="17" t="s">
        <v>345</v>
      </c>
      <c r="B2" s="17" t="s">
        <v>289</v>
      </c>
      <c r="C2" s="18" t="s">
        <v>346</v>
      </c>
      <c r="D2" s="19" t="s">
        <v>296</v>
      </c>
      <c r="E2" s="19" t="s">
        <v>95</v>
      </c>
      <c r="F2" s="20" t="str">
        <f>IF(B2="","",IF(OR(B2="NONE",COUNTIF('01_rules'!$A$2:$A$39,B2)&gt;0),"","rule 없음"))</f>
        <v/>
      </c>
      <c r="G2" s="20" t="str">
        <f>IF(A2="","",IF(OR(COUNTIF('01_rules'!$G$2:$G$39,A2)&gt;0,COUNTIF('06_errors'!$D$2:$D$401,A2)&gt;0),"교재와 중복!",""))</f>
        <v/>
      </c>
    </row>
    <row r="3" spans="1:7" ht="20.399999999999999" customHeight="1">
      <c r="A3" s="17" t="s">
        <v>347</v>
      </c>
      <c r="B3" s="17" t="s">
        <v>297</v>
      </c>
      <c r="C3" s="17" t="s">
        <v>348</v>
      </c>
      <c r="D3" s="19" t="s">
        <v>296</v>
      </c>
      <c r="E3" s="19" t="s">
        <v>95</v>
      </c>
      <c r="F3" s="20" t="str">
        <f>IF(B3="","",IF(OR(B3="NONE",COUNTIF('01_rules'!$A$2:$A$39,B3)&gt;0),"","rule 없음"))</f>
        <v/>
      </c>
      <c r="G3" s="20" t="str">
        <f>IF(A3="","",IF(OR(COUNTIF('01_rules'!$G$2:$G$39,A3)&gt;0,COUNTIF('06_errors'!$D$2:$D$401,A3)&gt;0),"교재와 중복!",""))</f>
        <v/>
      </c>
    </row>
    <row r="4" spans="1:7" ht="20.399999999999999" customHeight="1">
      <c r="A4" s="17" t="s">
        <v>349</v>
      </c>
      <c r="B4" s="17" t="s">
        <v>304</v>
      </c>
      <c r="C4" s="18" t="s">
        <v>305</v>
      </c>
      <c r="D4" s="19" t="s">
        <v>296</v>
      </c>
      <c r="E4" s="19" t="s">
        <v>95</v>
      </c>
      <c r="F4" s="20" t="str">
        <f>IF(B4="","",IF(OR(B4="NONE",COUNTIF('01_rules'!$A$2:$A$39,B4)&gt;0),"","rule 없음"))</f>
        <v/>
      </c>
      <c r="G4" s="20" t="str">
        <f>IF(A4="","",IF(OR(COUNTIF('01_rules'!$G$2:$G$39,A4)&gt;0,COUNTIF('06_errors'!$D$2:$D$401,A4)&gt;0),"교재와 중복!",""))</f>
        <v/>
      </c>
    </row>
    <row r="5" spans="1:7" ht="20.399999999999999" customHeight="1">
      <c r="A5" s="17" t="s">
        <v>350</v>
      </c>
      <c r="B5" s="17" t="s">
        <v>310</v>
      </c>
      <c r="C5" s="18" t="s">
        <v>351</v>
      </c>
      <c r="D5" s="19" t="s">
        <v>296</v>
      </c>
      <c r="E5" s="19" t="s">
        <v>95</v>
      </c>
      <c r="F5" s="20" t="str">
        <f>IF(B5="","",IF(OR(B5="NONE",COUNTIF('01_rules'!$A$2:$A$39,B5)&gt;0),"","rule 없음"))</f>
        <v/>
      </c>
      <c r="G5" s="20" t="str">
        <f>IF(A5="","",IF(OR(COUNTIF('01_rules'!$G$2:$G$39,A5)&gt;0,COUNTIF('06_errors'!$D$2:$D$401,A5)&gt;0),"교재와 중복!",""))</f>
        <v/>
      </c>
    </row>
    <row r="6" spans="1:7" ht="20.399999999999999" customHeight="1">
      <c r="A6" s="17" t="s">
        <v>352</v>
      </c>
      <c r="B6" s="17" t="s">
        <v>316</v>
      </c>
      <c r="C6" s="18" t="s">
        <v>317</v>
      </c>
      <c r="D6" s="19" t="s">
        <v>296</v>
      </c>
      <c r="E6" s="19" t="s">
        <v>95</v>
      </c>
      <c r="F6" s="20" t="str">
        <f>IF(B6="","",IF(OR(B6="NONE",COUNTIF('01_rules'!$A$2:$A$39,B6)&gt;0),"","rule 없음"))</f>
        <v/>
      </c>
      <c r="G6" s="20" t="str">
        <f>IF(A6="","",IF(OR(COUNTIF('01_rules'!$G$2:$G$39,A6)&gt;0,COUNTIF('06_errors'!$D$2:$D$401,A6)&gt;0),"교재와 중복!",""))</f>
        <v/>
      </c>
    </row>
    <row r="7" spans="1:7" ht="20.399999999999999" customHeight="1">
      <c r="A7" s="17" t="s">
        <v>353</v>
      </c>
      <c r="B7" s="17" t="s">
        <v>323</v>
      </c>
      <c r="C7" s="17" t="s">
        <v>354</v>
      </c>
      <c r="D7" s="19" t="s">
        <v>296</v>
      </c>
      <c r="E7" s="19" t="s">
        <v>95</v>
      </c>
      <c r="F7" s="20" t="str">
        <f>IF(B7="","",IF(OR(B7="NONE",COUNTIF('01_rules'!$A$2:$A$39,B7)&gt;0),"","rule 없음"))</f>
        <v/>
      </c>
      <c r="G7" s="20" t="str">
        <f>IF(A7="","",IF(OR(COUNTIF('01_rules'!$G$2:$G$39,A7)&gt;0,COUNTIF('06_errors'!$D$2:$D$401,A7)&gt;0),"교재와 중복!",""))</f>
        <v/>
      </c>
    </row>
    <row r="8" spans="1:7" ht="20.399999999999999" customHeight="1">
      <c r="A8" s="17" t="s">
        <v>355</v>
      </c>
      <c r="B8" s="17" t="s">
        <v>329</v>
      </c>
      <c r="C8" s="18" t="s">
        <v>356</v>
      </c>
      <c r="D8" s="19" t="s">
        <v>296</v>
      </c>
      <c r="E8" s="19" t="s">
        <v>95</v>
      </c>
      <c r="F8" s="20" t="str">
        <f>IF(B8="","",IF(OR(B8="NONE",COUNTIF('01_rules'!$A$2:$A$39,B8)&gt;0),"","rule 없음"))</f>
        <v/>
      </c>
      <c r="G8" s="20" t="str">
        <f>IF(A8="","",IF(OR(COUNTIF('01_rules'!$G$2:$G$39,A8)&gt;0,COUNTIF('06_errors'!$D$2:$D$401,A8)&gt;0),"교재와 중복!",""))</f>
        <v/>
      </c>
    </row>
    <row r="9" spans="1:7" ht="20.399999999999999" customHeight="1">
      <c r="A9" s="17" t="s">
        <v>357</v>
      </c>
      <c r="B9" s="17" t="s">
        <v>334</v>
      </c>
      <c r="C9" s="18" t="s">
        <v>358</v>
      </c>
      <c r="D9" s="19" t="s">
        <v>296</v>
      </c>
      <c r="E9" s="19" t="s">
        <v>95</v>
      </c>
      <c r="F9" s="20" t="str">
        <f>IF(B9="","",IF(OR(B9="NONE",COUNTIF('01_rules'!$A$2:$A$39,B9)&gt;0),"","rule 없음"))</f>
        <v/>
      </c>
      <c r="G9" s="20" t="str">
        <f>IF(A9="","",IF(OR(COUNTIF('01_rules'!$G$2:$G$39,A9)&gt;0,COUNTIF('06_errors'!$D$2:$D$401,A9)&gt;0),"교재와 중복!",""))</f>
        <v/>
      </c>
    </row>
    <row r="10" spans="1:7" ht="20.399999999999999" customHeight="1">
      <c r="A10" s="17" t="s">
        <v>359</v>
      </c>
      <c r="B10" s="17" t="s">
        <v>360</v>
      </c>
      <c r="C10" s="18" t="s">
        <v>361</v>
      </c>
      <c r="D10" s="19" t="s">
        <v>296</v>
      </c>
      <c r="E10" s="19" t="s">
        <v>95</v>
      </c>
      <c r="F10" s="20" t="str">
        <f>IF(B10="","",IF(OR(B10="NONE",COUNTIF('01_rules'!$A$2:$A$39,B10)&gt;0),"","rule 없음"))</f>
        <v/>
      </c>
      <c r="G10" s="20" t="str">
        <f>IF(A10="","",IF(OR(COUNTIF('01_rules'!$G$2:$G$39,A10)&gt;0,COUNTIF('06_errors'!$D$2:$D$401,A10)&gt;0),"교재와 중복!",""))</f>
        <v/>
      </c>
    </row>
    <row r="11" spans="1:7" ht="20.399999999999999" customHeight="1">
      <c r="A11" s="17" t="s">
        <v>362</v>
      </c>
      <c r="B11" s="17" t="s">
        <v>360</v>
      </c>
      <c r="C11" s="18" t="s">
        <v>363</v>
      </c>
      <c r="D11" s="19" t="s">
        <v>296</v>
      </c>
      <c r="E11" s="19" t="s">
        <v>95</v>
      </c>
      <c r="F11" s="20" t="str">
        <f>IF(B11="","",IF(OR(B11="NONE",COUNTIF('01_rules'!$A$2:$A$39,B11)&gt;0),"","rule 없음"))</f>
        <v/>
      </c>
      <c r="G11" s="20" t="str">
        <f>IF(A11="","",IF(OR(COUNTIF('01_rules'!$G$2:$G$39,A11)&gt;0,COUNTIF('06_errors'!$D$2:$D$401,A11)&gt;0),"교재와 중복!",""))</f>
        <v/>
      </c>
    </row>
    <row r="12" spans="1:7" ht="20.399999999999999" customHeight="1">
      <c r="A12" s="17" t="s">
        <v>364</v>
      </c>
      <c r="B12" s="17" t="s">
        <v>87</v>
      </c>
      <c r="C12" s="18" t="s">
        <v>365</v>
      </c>
      <c r="D12" s="19" t="s">
        <v>366</v>
      </c>
      <c r="E12" s="19" t="s">
        <v>95</v>
      </c>
      <c r="F12" s="20" t="str">
        <f>IF(B12="","",IF(OR(B12="NONE",COUNTIF('01_rules'!$A$2:$A$39,B12)&gt;0),"","rule 없음"))</f>
        <v/>
      </c>
      <c r="G12" s="20" t="str">
        <f>IF(A12="","",IF(OR(COUNTIF('01_rules'!$G$2:$G$39,A12)&gt;0,COUNTIF('06_errors'!$D$2:$D$401,A12)&gt;0),"교재와 중복!",""))</f>
        <v/>
      </c>
    </row>
    <row r="13" spans="1:7" ht="20.399999999999999" customHeight="1">
      <c r="A13" s="17" t="s">
        <v>367</v>
      </c>
      <c r="B13" s="17" t="s">
        <v>102</v>
      </c>
      <c r="C13" s="18" t="s">
        <v>368</v>
      </c>
      <c r="D13" s="19" t="s">
        <v>366</v>
      </c>
      <c r="E13" s="19" t="s">
        <v>95</v>
      </c>
      <c r="F13" s="20" t="str">
        <f>IF(B13="","",IF(OR(B13="NONE",COUNTIF('01_rules'!$A$2:$A$39,B13)&gt;0),"","rule 없음"))</f>
        <v/>
      </c>
      <c r="G13" s="20" t="str">
        <f>IF(A13="","",IF(OR(COUNTIF('01_rules'!$G$2:$G$39,A13)&gt;0,COUNTIF('06_errors'!$D$2:$D$401,A13)&gt;0),"교재와 중복!",""))</f>
        <v/>
      </c>
    </row>
    <row r="14" spans="1:7" ht="20.399999999999999" customHeight="1">
      <c r="A14" s="17" t="s">
        <v>369</v>
      </c>
      <c r="B14" s="17" t="s">
        <v>115</v>
      </c>
      <c r="C14" s="18" t="s">
        <v>370</v>
      </c>
      <c r="D14" s="19" t="s">
        <v>366</v>
      </c>
      <c r="E14" s="19" t="s">
        <v>95</v>
      </c>
      <c r="F14" s="20" t="str">
        <f>IF(B14="","",IF(OR(B14="NONE",COUNTIF('01_rules'!$A$2:$A$39,B14)&gt;0),"","rule 없음"))</f>
        <v/>
      </c>
      <c r="G14" s="20" t="str">
        <f>IF(A14="","",IF(OR(COUNTIF('01_rules'!$G$2:$G$39,A14)&gt;0,COUNTIF('06_errors'!$D$2:$D$401,A14)&gt;0),"교재와 중복!",""))</f>
        <v/>
      </c>
    </row>
    <row r="15" spans="1:7" ht="20.399999999999999" customHeight="1">
      <c r="A15" s="17" t="s">
        <v>371</v>
      </c>
      <c r="B15" s="17" t="s">
        <v>128</v>
      </c>
      <c r="C15" s="18" t="s">
        <v>372</v>
      </c>
      <c r="D15" s="19" t="s">
        <v>366</v>
      </c>
      <c r="E15" s="19" t="s">
        <v>95</v>
      </c>
      <c r="F15" s="20" t="str">
        <f>IF(B15="","",IF(OR(B15="NONE",COUNTIF('01_rules'!$A$2:$A$39,B15)&gt;0),"","rule 없음"))</f>
        <v/>
      </c>
      <c r="G15" s="20" t="str">
        <f>IF(A15="","",IF(OR(COUNTIF('01_rules'!$G$2:$G$39,A15)&gt;0,COUNTIF('06_errors'!$D$2:$D$401,A15)&gt;0),"교재와 중복!",""))</f>
        <v/>
      </c>
    </row>
    <row r="16" spans="1:7" ht="20.399999999999999" customHeight="1">
      <c r="A16" s="17" t="s">
        <v>373</v>
      </c>
      <c r="B16" s="17" t="s">
        <v>141</v>
      </c>
      <c r="C16" s="18" t="s">
        <v>374</v>
      </c>
      <c r="D16" s="19" t="s">
        <v>366</v>
      </c>
      <c r="E16" s="19" t="s">
        <v>95</v>
      </c>
      <c r="F16" s="20" t="str">
        <f>IF(B16="","",IF(OR(B16="NONE",COUNTIF('01_rules'!$A$2:$A$39,B16)&gt;0),"","rule 없음"))</f>
        <v/>
      </c>
      <c r="G16" s="20" t="str">
        <f>IF(A16="","",IF(OR(COUNTIF('01_rules'!$G$2:$G$39,A16)&gt;0,COUNTIF('06_errors'!$D$2:$D$401,A16)&gt;0),"교재와 중복!",""))</f>
        <v/>
      </c>
    </row>
    <row r="17" spans="1:7" ht="20.399999999999999" customHeight="1">
      <c r="A17" s="17" t="s">
        <v>375</v>
      </c>
      <c r="B17" s="17" t="s">
        <v>154</v>
      </c>
      <c r="C17" s="18" t="s">
        <v>376</v>
      </c>
      <c r="D17" s="19" t="s">
        <v>366</v>
      </c>
      <c r="E17" s="19" t="s">
        <v>95</v>
      </c>
      <c r="F17" s="20" t="str">
        <f>IF(B17="","",IF(OR(B17="NONE",COUNTIF('01_rules'!$A$2:$A$39,B17)&gt;0),"","rule 없음"))</f>
        <v/>
      </c>
      <c r="G17" s="20" t="str">
        <f>IF(A17="","",IF(OR(COUNTIF('01_rules'!$G$2:$G$39,A17)&gt;0,COUNTIF('06_errors'!$D$2:$D$401,A17)&gt;0),"교재와 중복!",""))</f>
        <v/>
      </c>
    </row>
    <row r="18" spans="1:7" ht="20.399999999999999" customHeight="1">
      <c r="A18" s="17" t="s">
        <v>377</v>
      </c>
      <c r="B18" s="17" t="s">
        <v>168</v>
      </c>
      <c r="C18" s="18" t="s">
        <v>378</v>
      </c>
      <c r="D18" s="19" t="s">
        <v>366</v>
      </c>
      <c r="E18" s="19" t="s">
        <v>95</v>
      </c>
      <c r="F18" s="20" t="str">
        <f>IF(B18="","",IF(OR(B18="NONE",COUNTIF('01_rules'!$A$2:$A$39,B18)&gt;0),"","rule 없음"))</f>
        <v/>
      </c>
      <c r="G18" s="20" t="str">
        <f>IF(A18="","",IF(OR(COUNTIF('01_rules'!$G$2:$G$39,A18)&gt;0,COUNTIF('06_errors'!$D$2:$D$401,A18)&gt;0),"교재와 중복!",""))</f>
        <v/>
      </c>
    </row>
    <row r="19" spans="1:7" ht="20.399999999999999" customHeight="1">
      <c r="A19" s="17" t="s">
        <v>379</v>
      </c>
      <c r="B19" s="17" t="s">
        <v>181</v>
      </c>
      <c r="C19" s="18" t="s">
        <v>380</v>
      </c>
      <c r="D19" s="19" t="s">
        <v>366</v>
      </c>
      <c r="E19" s="19" t="s">
        <v>95</v>
      </c>
      <c r="F19" s="20" t="str">
        <f>IF(B19="","",IF(OR(B19="NONE",COUNTIF('01_rules'!$A$2:$A$39,B19)&gt;0),"","rule 없음"))</f>
        <v/>
      </c>
      <c r="G19" s="20" t="str">
        <f>IF(A19="","",IF(OR(COUNTIF('01_rules'!$G$2:$G$39,A19)&gt;0,COUNTIF('06_errors'!$D$2:$D$401,A19)&gt;0),"교재와 중복!",""))</f>
        <v/>
      </c>
    </row>
    <row r="20" spans="1:7" ht="20.399999999999999" customHeight="1">
      <c r="A20" s="17" t="s">
        <v>381</v>
      </c>
      <c r="B20" s="17" t="s">
        <v>194</v>
      </c>
      <c r="C20" s="18" t="s">
        <v>382</v>
      </c>
      <c r="D20" s="19" t="s">
        <v>366</v>
      </c>
      <c r="E20" s="19" t="s">
        <v>95</v>
      </c>
      <c r="F20" s="20" t="str">
        <f>IF(B20="","",IF(OR(B20="NONE",COUNTIF('01_rules'!$A$2:$A$39,B20)&gt;0),"","rule 없음"))</f>
        <v/>
      </c>
      <c r="G20" s="20" t="str">
        <f>IF(A20="","",IF(OR(COUNTIF('01_rules'!$G$2:$G$39,A20)&gt;0,COUNTIF('06_errors'!$D$2:$D$401,A20)&gt;0),"교재와 중복!",""))</f>
        <v/>
      </c>
    </row>
    <row r="21" spans="1:7" ht="20.399999999999999" customHeight="1">
      <c r="A21" s="17" t="s">
        <v>383</v>
      </c>
      <c r="B21" s="17" t="s">
        <v>208</v>
      </c>
      <c r="C21" s="18" t="s">
        <v>384</v>
      </c>
      <c r="D21" s="19" t="s">
        <v>366</v>
      </c>
      <c r="E21" s="19" t="s">
        <v>95</v>
      </c>
      <c r="F21" s="20" t="str">
        <f>IF(B21="","",IF(OR(B21="NONE",COUNTIF('01_rules'!$A$2:$A$39,B21)&gt;0),"","rule 없음"))</f>
        <v/>
      </c>
      <c r="G21" s="20" t="str">
        <f>IF(A21="","",IF(OR(COUNTIF('01_rules'!$G$2:$G$39,A21)&gt;0,COUNTIF('06_errors'!$D$2:$D$401,A21)&gt;0),"교재와 중복!",""))</f>
        <v/>
      </c>
    </row>
    <row r="22" spans="1:7" ht="20.399999999999999" customHeight="1">
      <c r="A22" s="17" t="s">
        <v>385</v>
      </c>
      <c r="B22" s="17" t="s">
        <v>222</v>
      </c>
      <c r="C22" s="18" t="s">
        <v>386</v>
      </c>
      <c r="D22" s="19" t="s">
        <v>366</v>
      </c>
      <c r="E22" s="19" t="s">
        <v>95</v>
      </c>
      <c r="F22" s="20" t="str">
        <f>IF(B22="","",IF(OR(B22="NONE",COUNTIF('01_rules'!$A$2:$A$39,B22)&gt;0),"","rule 없음"))</f>
        <v/>
      </c>
      <c r="G22" s="20" t="str">
        <f>IF(A22="","",IF(OR(COUNTIF('01_rules'!$G$2:$G$39,A22)&gt;0,COUNTIF('06_errors'!$D$2:$D$401,A22)&gt;0),"교재와 중복!",""))</f>
        <v/>
      </c>
    </row>
    <row r="23" spans="1:7" ht="20.399999999999999" customHeight="1">
      <c r="A23" s="17" t="s">
        <v>387</v>
      </c>
      <c r="B23" s="17" t="s">
        <v>235</v>
      </c>
      <c r="C23" s="18" t="s">
        <v>388</v>
      </c>
      <c r="D23" s="19" t="s">
        <v>366</v>
      </c>
      <c r="E23" s="19" t="s">
        <v>95</v>
      </c>
      <c r="F23" s="20" t="str">
        <f>IF(B23="","",IF(OR(B23="NONE",COUNTIF('01_rules'!$A$2:$A$39,B23)&gt;0),"","rule 없음"))</f>
        <v/>
      </c>
      <c r="G23" s="20" t="str">
        <f>IF(A23="","",IF(OR(COUNTIF('01_rules'!$G$2:$G$39,A23)&gt;0,COUNTIF('06_errors'!$D$2:$D$401,A23)&gt;0),"교재와 중복!",""))</f>
        <v/>
      </c>
    </row>
    <row r="24" spans="1:7" ht="20.399999999999999" customHeight="1">
      <c r="A24" s="17" t="s">
        <v>389</v>
      </c>
      <c r="B24" s="17" t="s">
        <v>249</v>
      </c>
      <c r="C24" s="18" t="s">
        <v>390</v>
      </c>
      <c r="D24" s="19" t="s">
        <v>366</v>
      </c>
      <c r="E24" s="19" t="s">
        <v>95</v>
      </c>
      <c r="F24" s="20" t="str">
        <f>IF(B24="","",IF(OR(B24="NONE",COUNTIF('01_rules'!$A$2:$A$39,B24)&gt;0),"","rule 없음"))</f>
        <v/>
      </c>
      <c r="G24" s="20" t="str">
        <f>IF(A24="","",IF(OR(COUNTIF('01_rules'!$G$2:$G$39,A24)&gt;0,COUNTIF('06_errors'!$D$2:$D$401,A24)&gt;0),"교재와 중복!",""))</f>
        <v/>
      </c>
    </row>
    <row r="25" spans="1:7" ht="20.399999999999999" customHeight="1">
      <c r="A25" s="17" t="s">
        <v>391</v>
      </c>
      <c r="B25" s="17" t="s">
        <v>262</v>
      </c>
      <c r="C25" s="18" t="s">
        <v>392</v>
      </c>
      <c r="D25" s="19" t="s">
        <v>366</v>
      </c>
      <c r="E25" s="19" t="s">
        <v>95</v>
      </c>
      <c r="F25" s="20" t="str">
        <f>IF(B25="","",IF(OR(B25="NONE",COUNTIF('01_rules'!$A$2:$A$39,B25)&gt;0),"","rule 없음"))</f>
        <v/>
      </c>
      <c r="G25" s="20" t="str">
        <f>IF(A25="","",IF(OR(COUNTIF('01_rules'!$G$2:$G$39,A25)&gt;0,COUNTIF('06_errors'!$D$2:$D$401,A25)&gt;0),"교재와 중복!",""))</f>
        <v/>
      </c>
    </row>
    <row r="26" spans="1:7" ht="20.399999999999999" customHeight="1">
      <c r="A26" s="17" t="s">
        <v>393</v>
      </c>
      <c r="B26" s="17" t="s">
        <v>275</v>
      </c>
      <c r="C26" s="18" t="s">
        <v>394</v>
      </c>
      <c r="D26" s="19" t="s">
        <v>366</v>
      </c>
      <c r="E26" s="19" t="s">
        <v>95</v>
      </c>
      <c r="F26" s="20" t="str">
        <f>IF(B26="","",IF(OR(B26="NONE",COUNTIF('01_rules'!$A$2:$A$39,B26)&gt;0),"","rule 없음"))</f>
        <v/>
      </c>
      <c r="G26" s="20" t="str">
        <f>IF(A26="","",IF(OR(COUNTIF('01_rules'!$G$2:$G$39,A26)&gt;0,COUNTIF('06_errors'!$D$2:$D$401,A26)&gt;0),"교재와 중복!",""))</f>
        <v/>
      </c>
    </row>
    <row r="27" spans="1:7" ht="20.399999999999999" customHeight="1">
      <c r="A27" s="17" t="s">
        <v>395</v>
      </c>
      <c r="B27" s="17" t="s">
        <v>109</v>
      </c>
      <c r="C27" s="18" t="s">
        <v>396</v>
      </c>
      <c r="D27" s="19" t="s">
        <v>366</v>
      </c>
      <c r="E27" s="19" t="s">
        <v>95</v>
      </c>
      <c r="F27" s="20" t="str">
        <f>IF(B27="","",IF(OR(B27="NONE",COUNTIF('01_rules'!$A$2:$A$39,B27)&gt;0),"","rule 없음"))</f>
        <v/>
      </c>
      <c r="G27" s="20" t="str">
        <f>IF(A27="","",IF(OR(COUNTIF('01_rules'!$G$2:$G$39,A27)&gt;0,COUNTIF('06_errors'!$D$2:$D$401,A27)&gt;0),"교재와 중복!",""))</f>
        <v/>
      </c>
    </row>
    <row r="28" spans="1:7" ht="20.399999999999999" customHeight="1">
      <c r="A28" s="17" t="s">
        <v>397</v>
      </c>
      <c r="B28" s="17" t="s">
        <v>282</v>
      </c>
      <c r="C28" s="18" t="s">
        <v>398</v>
      </c>
      <c r="D28" s="19" t="s">
        <v>366</v>
      </c>
      <c r="E28" s="19" t="s">
        <v>95</v>
      </c>
      <c r="F28" s="20" t="str">
        <f>IF(B28="","",IF(OR(B28="NONE",COUNTIF('01_rules'!$A$2:$A$39,B28)&gt;0),"","rule 없음"))</f>
        <v/>
      </c>
      <c r="G28" s="20" t="str">
        <f>IF(A28="","",IF(OR(COUNTIF('01_rules'!$G$2:$G$39,A28)&gt;0,COUNTIF('06_errors'!$D$2:$D$401,A28)&gt;0),"교재와 중복!",""))</f>
        <v/>
      </c>
    </row>
    <row r="29" spans="1:7" ht="20.399999999999999" customHeight="1">
      <c r="A29" s="17" t="s">
        <v>399</v>
      </c>
      <c r="B29" s="17" t="s">
        <v>360</v>
      </c>
      <c r="C29" s="18" t="s">
        <v>363</v>
      </c>
      <c r="D29" s="19" t="s">
        <v>366</v>
      </c>
      <c r="E29" s="19" t="s">
        <v>95</v>
      </c>
      <c r="F29" s="20" t="str">
        <f>IF(B29="","",IF(OR(B29="NONE",COUNTIF('01_rules'!$A$2:$A$39,B29)&gt;0),"","rule 없음"))</f>
        <v/>
      </c>
      <c r="G29" s="20" t="str">
        <f>IF(A29="","",IF(OR(COUNTIF('01_rules'!$G$2:$G$39,A29)&gt;0,COUNTIF('06_errors'!$D$2:$D$401,A29)&gt;0),"교재와 중복!",""))</f>
        <v/>
      </c>
    </row>
    <row r="30" spans="1:7" ht="20.399999999999999" customHeight="1">
      <c r="A30" s="17" t="s">
        <v>400</v>
      </c>
      <c r="B30" s="17" t="s">
        <v>360</v>
      </c>
      <c r="C30" s="18" t="s">
        <v>363</v>
      </c>
      <c r="D30" s="19" t="s">
        <v>366</v>
      </c>
      <c r="E30" s="19" t="s">
        <v>95</v>
      </c>
      <c r="F30" s="20" t="str">
        <f>IF(B30="","",IF(OR(B30="NONE",COUNTIF('01_rules'!$A$2:$A$39,B30)&gt;0),"","rule 없음"))</f>
        <v/>
      </c>
      <c r="G30" s="20" t="str">
        <f>IF(A30="","",IF(OR(COUNTIF('01_rules'!$G$2:$G$39,A30)&gt;0,COUNTIF('06_errors'!$D$2:$D$401,A30)&gt;0),"교재와 중복!",""))</f>
        <v/>
      </c>
    </row>
    <row r="31" spans="1:7" ht="20.399999999999999" customHeight="1">
      <c r="A31" s="17" t="s">
        <v>401</v>
      </c>
      <c r="B31" s="17" t="s">
        <v>360</v>
      </c>
      <c r="C31" s="18" t="s">
        <v>402</v>
      </c>
      <c r="D31" s="19" t="s">
        <v>366</v>
      </c>
      <c r="E31" s="19" t="s">
        <v>95</v>
      </c>
      <c r="F31" s="20" t="str">
        <f>IF(B31="","",IF(OR(B31="NONE",COUNTIF('01_rules'!$A$2:$A$39,B31)&gt;0),"","rule 없음"))</f>
        <v/>
      </c>
      <c r="G31" s="20" t="str">
        <f>IF(A31="","",IF(OR(COUNTIF('01_rules'!$G$2:$G$39,A31)&gt;0,COUNTIF('06_errors'!$D$2:$D$401,A31)&gt;0),"교재와 중복!",""))</f>
        <v/>
      </c>
    </row>
    <row r="32" spans="1:7" ht="20.399999999999999" customHeight="1">
      <c r="A32" s="17" t="s">
        <v>403</v>
      </c>
      <c r="B32" s="17" t="s">
        <v>96</v>
      </c>
      <c r="C32" s="18" t="s">
        <v>404</v>
      </c>
      <c r="D32" s="19" t="s">
        <v>366</v>
      </c>
      <c r="E32" s="19" t="s">
        <v>95</v>
      </c>
      <c r="F32" s="20" t="str">
        <f>IF(B32="","",IF(OR(B32="NONE",COUNTIF('01_rules'!$A$2:$A$39,B32)&gt;0),"","rule 없음"))</f>
        <v/>
      </c>
      <c r="G32" s="20" t="str">
        <f>IF(A32="","",IF(OR(COUNTIF('01_rules'!$G$2:$G$39,A32)&gt;0,COUNTIF('06_errors'!$D$2:$D$401,A32)&gt;0),"교재와 중복!",""))</f>
        <v/>
      </c>
    </row>
    <row r="33" spans="1:7" ht="20.399999999999999" customHeight="1">
      <c r="A33" s="17" t="s">
        <v>405</v>
      </c>
      <c r="B33" s="17" t="s">
        <v>122</v>
      </c>
      <c r="C33" s="18" t="s">
        <v>406</v>
      </c>
      <c r="D33" s="19" t="s">
        <v>366</v>
      </c>
      <c r="E33" s="19" t="s">
        <v>95</v>
      </c>
      <c r="F33" s="20" t="str">
        <f>IF(B33="","",IF(OR(B33="NONE",COUNTIF('01_rules'!$A$2:$A$39,B33)&gt;0),"","rule 없음"))</f>
        <v/>
      </c>
      <c r="G33" s="20" t="str">
        <f>IF(A33="","",IF(OR(COUNTIF('01_rules'!$G$2:$G$39,A33)&gt;0,COUNTIF('06_errors'!$D$2:$D$401,A33)&gt;0),"교재와 중복!",""))</f>
        <v/>
      </c>
    </row>
    <row r="34" spans="1:7" ht="20.399999999999999" customHeight="1">
      <c r="A34" s="17" t="s">
        <v>407</v>
      </c>
      <c r="B34" s="17" t="s">
        <v>135</v>
      </c>
      <c r="C34" s="18" t="s">
        <v>408</v>
      </c>
      <c r="D34" s="19" t="s">
        <v>366</v>
      </c>
      <c r="E34" s="19" t="s">
        <v>95</v>
      </c>
      <c r="F34" s="20" t="str">
        <f>IF(B34="","",IF(OR(B34="NONE",COUNTIF('01_rules'!$A$2:$A$39,B34)&gt;0),"","rule 없음"))</f>
        <v/>
      </c>
      <c r="G34" s="20" t="str">
        <f>IF(A34="","",IF(OR(COUNTIF('01_rules'!$G$2:$G$39,A34)&gt;0,COUNTIF('06_errors'!$D$2:$D$401,A34)&gt;0),"교재와 중복!",""))</f>
        <v/>
      </c>
    </row>
    <row r="35" spans="1:7" ht="20.399999999999999" customHeight="1">
      <c r="A35" s="17" t="s">
        <v>409</v>
      </c>
      <c r="B35" s="17" t="s">
        <v>148</v>
      </c>
      <c r="C35" s="18" t="s">
        <v>410</v>
      </c>
      <c r="D35" s="19" t="s">
        <v>366</v>
      </c>
      <c r="E35" s="19" t="s">
        <v>95</v>
      </c>
      <c r="F35" s="20" t="str">
        <f>IF(B35="","",IF(OR(B35="NONE",COUNTIF('01_rules'!$A$2:$A$39,B35)&gt;0),"","rule 없음"))</f>
        <v/>
      </c>
      <c r="G35" s="20" t="str">
        <f>IF(A35="","",IF(OR(COUNTIF('01_rules'!$G$2:$G$39,A35)&gt;0,COUNTIF('06_errors'!$D$2:$D$401,A35)&gt;0),"교재와 중복!",""))</f>
        <v/>
      </c>
    </row>
    <row r="36" spans="1:7" ht="20.399999999999999" customHeight="1">
      <c r="A36" s="17" t="s">
        <v>411</v>
      </c>
      <c r="B36" s="17" t="s">
        <v>161</v>
      </c>
      <c r="C36" s="18" t="s">
        <v>412</v>
      </c>
      <c r="D36" s="19" t="s">
        <v>366</v>
      </c>
      <c r="E36" s="19" t="s">
        <v>95</v>
      </c>
      <c r="F36" s="20" t="str">
        <f>IF(B36="","",IF(OR(B36="NONE",COUNTIF('01_rules'!$A$2:$A$39,B36)&gt;0),"","rule 없음"))</f>
        <v/>
      </c>
      <c r="G36" s="20" t="str">
        <f>IF(A36="","",IF(OR(COUNTIF('01_rules'!$G$2:$G$39,A36)&gt;0,COUNTIF('06_errors'!$D$2:$D$401,A36)&gt;0),"교재와 중복!",""))</f>
        <v/>
      </c>
    </row>
    <row r="37" spans="1:7" ht="20.399999999999999" customHeight="1">
      <c r="A37" s="17" t="s">
        <v>413</v>
      </c>
      <c r="B37" s="17" t="s">
        <v>174</v>
      </c>
      <c r="C37" s="18" t="s">
        <v>414</v>
      </c>
      <c r="D37" s="19" t="s">
        <v>366</v>
      </c>
      <c r="E37" s="19" t="s">
        <v>95</v>
      </c>
      <c r="F37" s="20" t="str">
        <f>IF(B37="","",IF(OR(B37="NONE",COUNTIF('01_rules'!$A$2:$A$39,B37)&gt;0),"","rule 없음"))</f>
        <v/>
      </c>
      <c r="G37" s="20" t="str">
        <f>IF(A37="","",IF(OR(COUNTIF('01_rules'!$G$2:$G$39,A37)&gt;0,COUNTIF('06_errors'!$D$2:$D$401,A37)&gt;0),"교재와 중복!",""))</f>
        <v/>
      </c>
    </row>
    <row r="38" spans="1:7" ht="20.399999999999999" customHeight="1">
      <c r="A38" s="17" t="s">
        <v>415</v>
      </c>
      <c r="B38" s="17" t="s">
        <v>187</v>
      </c>
      <c r="C38" s="18" t="s">
        <v>416</v>
      </c>
      <c r="D38" s="19" t="s">
        <v>366</v>
      </c>
      <c r="E38" s="19" t="s">
        <v>95</v>
      </c>
      <c r="F38" s="20" t="str">
        <f>IF(B38="","",IF(OR(B38="NONE",COUNTIF('01_rules'!$A$2:$A$39,B38)&gt;0),"","rule 없음"))</f>
        <v/>
      </c>
      <c r="G38" s="20" t="str">
        <f>IF(A38="","",IF(OR(COUNTIF('01_rules'!$G$2:$G$39,A38)&gt;0,COUNTIF('06_errors'!$D$2:$D$401,A38)&gt;0),"교재와 중복!",""))</f>
        <v/>
      </c>
    </row>
    <row r="39" spans="1:7" ht="20.399999999999999" customHeight="1">
      <c r="A39" s="17" t="s">
        <v>417</v>
      </c>
      <c r="B39" s="17" t="s">
        <v>201</v>
      </c>
      <c r="C39" s="18" t="s">
        <v>418</v>
      </c>
      <c r="D39" s="19" t="s">
        <v>366</v>
      </c>
      <c r="E39" s="19" t="s">
        <v>95</v>
      </c>
      <c r="F39" s="20" t="str">
        <f>IF(B39="","",IF(OR(B39="NONE",COUNTIF('01_rules'!$A$2:$A$39,B39)&gt;0),"","rule 없음"))</f>
        <v/>
      </c>
      <c r="G39" s="20" t="str">
        <f>IF(A39="","",IF(OR(COUNTIF('01_rules'!$G$2:$G$39,A39)&gt;0,COUNTIF('06_errors'!$D$2:$D$401,A39)&gt;0),"교재와 중복!",""))</f>
        <v/>
      </c>
    </row>
    <row r="40" spans="1:7" ht="20.399999999999999" customHeight="1">
      <c r="A40" s="17" t="s">
        <v>419</v>
      </c>
      <c r="B40" s="17" t="s">
        <v>215</v>
      </c>
      <c r="C40" s="18" t="s">
        <v>420</v>
      </c>
      <c r="D40" s="19" t="s">
        <v>366</v>
      </c>
      <c r="E40" s="19" t="s">
        <v>95</v>
      </c>
      <c r="F40" s="20" t="str">
        <f>IF(B40="","",IF(OR(B40="NONE",COUNTIF('01_rules'!$A$2:$A$39,B40)&gt;0),"","rule 없음"))</f>
        <v/>
      </c>
      <c r="G40" s="20" t="str">
        <f>IF(A40="","",IF(OR(COUNTIF('01_rules'!$G$2:$G$39,A40)&gt;0,COUNTIF('06_errors'!$D$2:$D$401,A40)&gt;0),"교재와 중복!",""))</f>
        <v/>
      </c>
    </row>
    <row r="41" spans="1:7" ht="20.399999999999999" customHeight="1">
      <c r="A41" s="17" t="s">
        <v>421</v>
      </c>
      <c r="B41" s="17" t="s">
        <v>229</v>
      </c>
      <c r="C41" s="18" t="s">
        <v>422</v>
      </c>
      <c r="D41" s="19" t="s">
        <v>366</v>
      </c>
      <c r="E41" s="19" t="s">
        <v>95</v>
      </c>
      <c r="F41" s="20" t="str">
        <f>IF(B41="","",IF(OR(B41="NONE",COUNTIF('01_rules'!$A$2:$A$39,B41)&gt;0),"","rule 없음"))</f>
        <v/>
      </c>
      <c r="G41" s="20" t="str">
        <f>IF(A41="","",IF(OR(COUNTIF('01_rules'!$G$2:$G$39,A41)&gt;0,COUNTIF('06_errors'!$D$2:$D$401,A41)&gt;0),"교재와 중복!",""))</f>
        <v/>
      </c>
    </row>
    <row r="42" spans="1:7" ht="20.399999999999999" customHeight="1">
      <c r="A42" s="17" t="s">
        <v>423</v>
      </c>
      <c r="B42" s="17" t="s">
        <v>242</v>
      </c>
      <c r="C42" s="18" t="s">
        <v>424</v>
      </c>
      <c r="D42" s="19" t="s">
        <v>366</v>
      </c>
      <c r="E42" s="19" t="s">
        <v>95</v>
      </c>
      <c r="F42" s="20" t="str">
        <f>IF(B42="","",IF(OR(B42="NONE",COUNTIF('01_rules'!$A$2:$A$39,B42)&gt;0),"","rule 없음"))</f>
        <v/>
      </c>
      <c r="G42" s="20" t="str">
        <f>IF(A42="","",IF(OR(COUNTIF('01_rules'!$G$2:$G$39,A42)&gt;0,COUNTIF('06_errors'!$D$2:$D$401,A42)&gt;0),"교재와 중복!",""))</f>
        <v/>
      </c>
    </row>
    <row r="43" spans="1:7" ht="20.399999999999999" customHeight="1">
      <c r="A43" s="17" t="s">
        <v>425</v>
      </c>
      <c r="B43" s="17" t="s">
        <v>256</v>
      </c>
      <c r="C43" s="18" t="s">
        <v>426</v>
      </c>
      <c r="D43" s="19" t="s">
        <v>366</v>
      </c>
      <c r="E43" s="19" t="s">
        <v>95</v>
      </c>
      <c r="F43" s="20" t="str">
        <f>IF(B43="","",IF(OR(B43="NONE",COUNTIF('01_rules'!$A$2:$A$39,B43)&gt;0),"","rule 없음"))</f>
        <v/>
      </c>
      <c r="G43" s="20" t="str">
        <f>IF(A43="","",IF(OR(COUNTIF('01_rules'!$G$2:$G$39,A43)&gt;0,COUNTIF('06_errors'!$D$2:$D$401,A43)&gt;0),"교재와 중복!",""))</f>
        <v/>
      </c>
    </row>
    <row r="44" spans="1:7" ht="20.399999999999999" customHeight="1">
      <c r="A44" s="17" t="s">
        <v>427</v>
      </c>
      <c r="B44" s="17" t="s">
        <v>269</v>
      </c>
      <c r="C44" s="18" t="s">
        <v>428</v>
      </c>
      <c r="D44" s="19" t="s">
        <v>366</v>
      </c>
      <c r="E44" s="19" t="s">
        <v>95</v>
      </c>
      <c r="F44" s="20" t="str">
        <f>IF(B44="","",IF(OR(B44="NONE",COUNTIF('01_rules'!$A$2:$A$39,B44)&gt;0),"","rule 없음"))</f>
        <v/>
      </c>
      <c r="G44" s="20" t="str">
        <f>IF(A44="","",IF(OR(COUNTIF('01_rules'!$G$2:$G$39,A44)&gt;0,COUNTIF('06_errors'!$D$2:$D$401,A44)&gt;0),"교재와 중복!",""))</f>
        <v/>
      </c>
    </row>
    <row r="45" spans="1:7" ht="20.399999999999999" customHeight="1">
      <c r="A45" s="17" t="s">
        <v>429</v>
      </c>
      <c r="B45" s="17" t="s">
        <v>87</v>
      </c>
      <c r="C45" s="18" t="s">
        <v>430</v>
      </c>
      <c r="D45" s="19" t="s">
        <v>366</v>
      </c>
      <c r="E45" s="19" t="s">
        <v>95</v>
      </c>
      <c r="F45" s="20" t="str">
        <f>IF(B45="","",IF(OR(B45="NONE",COUNTIF('01_rules'!$A$2:$A$39,B45)&gt;0),"","rule 없음"))</f>
        <v/>
      </c>
      <c r="G45" s="20" t="str">
        <f>IF(A45="","",IF(OR(COUNTIF('01_rules'!$G$2:$G$39,A45)&gt;0,COUNTIF('06_errors'!$D$2:$D$401,A45)&gt;0),"교재와 중복!",""))</f>
        <v/>
      </c>
    </row>
    <row r="46" spans="1:7" ht="20.399999999999999" customHeight="1">
      <c r="A46" s="17" t="s">
        <v>431</v>
      </c>
      <c r="B46" s="17" t="s">
        <v>102</v>
      </c>
      <c r="C46" s="18" t="s">
        <v>432</v>
      </c>
      <c r="D46" s="19" t="s">
        <v>366</v>
      </c>
      <c r="E46" s="19" t="s">
        <v>95</v>
      </c>
      <c r="F46" s="20" t="str">
        <f>IF(B46="","",IF(OR(B46="NONE",COUNTIF('01_rules'!$A$2:$A$39,B46)&gt;0),"","rule 없음"))</f>
        <v/>
      </c>
      <c r="G46" s="20" t="str">
        <f>IF(A46="","",IF(OR(COUNTIF('01_rules'!$G$2:$G$39,A46)&gt;0,COUNTIF('06_errors'!$D$2:$D$401,A46)&gt;0),"교재와 중복!",""))</f>
        <v/>
      </c>
    </row>
    <row r="47" spans="1:7" ht="20.399999999999999" customHeight="1">
      <c r="A47" s="17" t="s">
        <v>433</v>
      </c>
      <c r="B47" s="17" t="s">
        <v>109</v>
      </c>
      <c r="C47" s="18" t="s">
        <v>434</v>
      </c>
      <c r="D47" s="19" t="s">
        <v>366</v>
      </c>
      <c r="E47" s="19" t="s">
        <v>95</v>
      </c>
      <c r="F47" t="str">
        <f>IF(B47="","",IF(OR(B47="NONE",COUNTIF('01_rules'!$A$2:$A$39,B47)&gt;0),"","rule 없음"))</f>
        <v/>
      </c>
      <c r="G47" t="str">
        <f>IF(A47="","",IF(OR(COUNTIF('01_rules'!$G$2:$G$39,A47)&gt;0,COUNTIF('06_errors'!$D$2:$D$401,A47)&gt;0),"교재와 중복!",""))</f>
        <v/>
      </c>
    </row>
    <row r="48" spans="1:7" ht="20.399999999999999" customHeight="1">
      <c r="A48" s="17" t="s">
        <v>435</v>
      </c>
      <c r="B48" s="17" t="s">
        <v>115</v>
      </c>
      <c r="C48" s="18" t="s">
        <v>436</v>
      </c>
      <c r="D48" s="19" t="s">
        <v>366</v>
      </c>
      <c r="E48" s="19" t="s">
        <v>95</v>
      </c>
      <c r="F48" t="str">
        <f>IF(B48="","",IF(OR(B48="NONE",COUNTIF('01_rules'!$A$2:$A$39,B48)&gt;0),"","rule 없음"))</f>
        <v/>
      </c>
      <c r="G48" t="str">
        <f>IF(A48="","",IF(OR(COUNTIF('01_rules'!$G$2:$G$39,A48)&gt;0,COUNTIF('06_errors'!$D$2:$D$401,A48)&gt;0),"교재와 중복!",""))</f>
        <v/>
      </c>
    </row>
    <row r="49" spans="1:7" ht="20.399999999999999" customHeight="1">
      <c r="A49" s="17" t="s">
        <v>437</v>
      </c>
      <c r="B49" s="17" t="s">
        <v>128</v>
      </c>
      <c r="C49" s="18" t="s">
        <v>438</v>
      </c>
      <c r="D49" s="19" t="s">
        <v>366</v>
      </c>
      <c r="E49" s="19" t="s">
        <v>95</v>
      </c>
      <c r="F49" t="str">
        <f>IF(B49="","",IF(OR(B49="NONE",COUNTIF('01_rules'!$A$2:$A$39,B49)&gt;0),"","rule 없음"))</f>
        <v/>
      </c>
      <c r="G49" t="str">
        <f>IF(A49="","",IF(OR(COUNTIF('01_rules'!$G$2:$G$39,A49)&gt;0,COUNTIF('06_errors'!$D$2:$D$401,A49)&gt;0),"교재와 중복!",""))</f>
        <v/>
      </c>
    </row>
    <row r="50" spans="1:7" ht="20.399999999999999" customHeight="1">
      <c r="A50" s="17" t="s">
        <v>439</v>
      </c>
      <c r="B50" s="17" t="s">
        <v>141</v>
      </c>
      <c r="C50" s="18" t="s">
        <v>440</v>
      </c>
      <c r="D50" s="19" t="s">
        <v>366</v>
      </c>
      <c r="E50" s="19" t="s">
        <v>95</v>
      </c>
      <c r="F50" t="str">
        <f>IF(B50="","",IF(OR(B50="NONE",COUNTIF('01_rules'!$A$2:$A$39,B50)&gt;0),"","rule 없음"))</f>
        <v/>
      </c>
      <c r="G50" t="str">
        <f>IF(A50="","",IF(OR(COUNTIF('01_rules'!$G$2:$G$39,A50)&gt;0,COUNTIF('06_errors'!$D$2:$D$401,A50)&gt;0),"교재와 중복!",""))</f>
        <v/>
      </c>
    </row>
    <row r="51" spans="1:7" ht="20.399999999999999" customHeight="1">
      <c r="A51" s="17" t="s">
        <v>441</v>
      </c>
      <c r="B51" s="17" t="s">
        <v>154</v>
      </c>
      <c r="C51" s="18" t="s">
        <v>442</v>
      </c>
      <c r="D51" s="19" t="s">
        <v>366</v>
      </c>
      <c r="E51" s="19" t="s">
        <v>95</v>
      </c>
      <c r="F51" t="str">
        <f>IF(B51="","",IF(OR(B51="NONE",COUNTIF('01_rules'!$A$2:$A$39,B51)&gt;0),"","rule 없음"))</f>
        <v/>
      </c>
      <c r="G51" t="str">
        <f>IF(A51="","",IF(OR(COUNTIF('01_rules'!$G$2:$G$39,A51)&gt;0,COUNTIF('06_errors'!$D$2:$D$401,A51)&gt;0),"교재와 중복!",""))</f>
        <v/>
      </c>
    </row>
    <row r="52" spans="1:7" ht="20.399999999999999" customHeight="1">
      <c r="A52" s="17" t="s">
        <v>443</v>
      </c>
      <c r="B52" s="17" t="s">
        <v>168</v>
      </c>
      <c r="C52" s="18" t="s">
        <v>444</v>
      </c>
      <c r="D52" s="19" t="s">
        <v>366</v>
      </c>
      <c r="E52" s="19" t="s">
        <v>95</v>
      </c>
      <c r="F52" t="str">
        <f>IF(B52="","",IF(OR(B52="NONE",COUNTIF('01_rules'!$A$2:$A$39,B52)&gt;0),"","rule 없음"))</f>
        <v/>
      </c>
      <c r="G52" t="str">
        <f>IF(A52="","",IF(OR(COUNTIF('01_rules'!$G$2:$G$39,A52)&gt;0,COUNTIF('06_errors'!$D$2:$D$401,A52)&gt;0),"교재와 중복!",""))</f>
        <v/>
      </c>
    </row>
    <row r="53" spans="1:7" ht="20.399999999999999" customHeight="1">
      <c r="A53" s="17" t="s">
        <v>445</v>
      </c>
      <c r="B53" s="17" t="s">
        <v>181</v>
      </c>
      <c r="C53" s="18" t="s">
        <v>446</v>
      </c>
      <c r="D53" s="19" t="s">
        <v>366</v>
      </c>
      <c r="E53" s="19" t="s">
        <v>95</v>
      </c>
      <c r="F53" t="str">
        <f>IF(B53="","",IF(OR(B53="NONE",COUNTIF('01_rules'!$A$2:$A$39,B53)&gt;0),"","rule 없음"))</f>
        <v/>
      </c>
      <c r="G53" t="str">
        <f>IF(A53="","",IF(OR(COUNTIF('01_rules'!$G$2:$G$39,A53)&gt;0,COUNTIF('06_errors'!$D$2:$D$401,A53)&gt;0),"교재와 중복!",""))</f>
        <v/>
      </c>
    </row>
    <row r="54" spans="1:7" ht="20.399999999999999" customHeight="1">
      <c r="A54" s="17" t="s">
        <v>447</v>
      </c>
      <c r="B54" s="17" t="s">
        <v>194</v>
      </c>
      <c r="C54" s="18" t="s">
        <v>448</v>
      </c>
      <c r="D54" s="19" t="s">
        <v>366</v>
      </c>
      <c r="E54" s="19" t="s">
        <v>95</v>
      </c>
      <c r="F54" t="str">
        <f>IF(B54="","",IF(OR(B54="NONE",COUNTIF('01_rules'!$A$2:$A$39,B54)&gt;0),"","rule 없음"))</f>
        <v/>
      </c>
      <c r="G54" t="str">
        <f>IF(A54="","",IF(OR(COUNTIF('01_rules'!$G$2:$G$39,A54)&gt;0,COUNTIF('06_errors'!$D$2:$D$401,A54)&gt;0),"교재와 중복!",""))</f>
        <v/>
      </c>
    </row>
    <row r="55" spans="1:7" ht="20.399999999999999" customHeight="1">
      <c r="A55" s="17" t="s">
        <v>449</v>
      </c>
      <c r="B55" s="17" t="s">
        <v>208</v>
      </c>
      <c r="C55" s="18" t="s">
        <v>450</v>
      </c>
      <c r="D55" s="19" t="s">
        <v>366</v>
      </c>
      <c r="E55" s="19" t="s">
        <v>95</v>
      </c>
      <c r="F55" t="str">
        <f>IF(B55="","",IF(OR(B55="NONE",COUNTIF('01_rules'!$A$2:$A$39,B55)&gt;0),"","rule 없음"))</f>
        <v/>
      </c>
      <c r="G55" t="str">
        <f>IF(A55="","",IF(OR(COUNTIF('01_rules'!$G$2:$G$39,A55)&gt;0,COUNTIF('06_errors'!$D$2:$D$401,A55)&gt;0),"교재와 중복!",""))</f>
        <v/>
      </c>
    </row>
    <row r="56" spans="1:7" ht="20.399999999999999" customHeight="1">
      <c r="A56" s="17" t="s">
        <v>451</v>
      </c>
      <c r="B56" s="17" t="s">
        <v>222</v>
      </c>
      <c r="C56" s="18" t="s">
        <v>452</v>
      </c>
      <c r="D56" s="19" t="s">
        <v>366</v>
      </c>
      <c r="E56" s="19" t="s">
        <v>95</v>
      </c>
      <c r="F56" t="str">
        <f>IF(B56="","",IF(OR(B56="NONE",COUNTIF('01_rules'!$A$2:$A$39,B56)&gt;0),"","rule 없음"))</f>
        <v/>
      </c>
      <c r="G56" t="str">
        <f>IF(A56="","",IF(OR(COUNTIF('01_rules'!$G$2:$G$39,A56)&gt;0,COUNTIF('06_errors'!$D$2:$D$401,A56)&gt;0),"교재와 중복!",""))</f>
        <v/>
      </c>
    </row>
    <row r="57" spans="1:7" ht="20.399999999999999" customHeight="1">
      <c r="A57" s="17" t="s">
        <v>453</v>
      </c>
      <c r="B57" s="17" t="s">
        <v>235</v>
      </c>
      <c r="C57" s="18" t="s">
        <v>454</v>
      </c>
      <c r="D57" s="19" t="s">
        <v>366</v>
      </c>
      <c r="E57" s="19" t="s">
        <v>95</v>
      </c>
      <c r="F57" t="str">
        <f>IF(B57="","",IF(OR(B57="NONE",COUNTIF('01_rules'!$A$2:$A$39,B57)&gt;0),"","rule 없음"))</f>
        <v/>
      </c>
      <c r="G57" t="str">
        <f>IF(A57="","",IF(OR(COUNTIF('01_rules'!$G$2:$G$39,A57)&gt;0,COUNTIF('06_errors'!$D$2:$D$401,A57)&gt;0),"교재와 중복!",""))</f>
        <v/>
      </c>
    </row>
    <row r="58" spans="1:7" ht="20.399999999999999" customHeight="1">
      <c r="A58" s="17" t="s">
        <v>455</v>
      </c>
      <c r="B58" s="17" t="s">
        <v>249</v>
      </c>
      <c r="C58" s="18" t="s">
        <v>456</v>
      </c>
      <c r="D58" s="19" t="s">
        <v>366</v>
      </c>
      <c r="E58" s="19" t="s">
        <v>95</v>
      </c>
      <c r="F58" t="str">
        <f>IF(B58="","",IF(OR(B58="NONE",COUNTIF('01_rules'!$A$2:$A$39,B58)&gt;0),"","rule 없음"))</f>
        <v/>
      </c>
      <c r="G58" t="str">
        <f>IF(A58="","",IF(OR(COUNTIF('01_rules'!$G$2:$G$39,A58)&gt;0,COUNTIF('06_errors'!$D$2:$D$401,A58)&gt;0),"교재와 중복!",""))</f>
        <v/>
      </c>
    </row>
    <row r="59" spans="1:7" ht="20.399999999999999" customHeight="1">
      <c r="A59" s="17" t="s">
        <v>457</v>
      </c>
      <c r="B59" s="17" t="s">
        <v>262</v>
      </c>
      <c r="C59" s="18" t="s">
        <v>458</v>
      </c>
      <c r="D59" s="19" t="s">
        <v>366</v>
      </c>
      <c r="E59" s="19" t="s">
        <v>95</v>
      </c>
      <c r="F59" t="str">
        <f>IF(B59="","",IF(OR(B59="NONE",COUNTIF('01_rules'!$A$2:$A$39,B59)&gt;0),"","rule 없음"))</f>
        <v/>
      </c>
      <c r="G59" t="str">
        <f>IF(A59="","",IF(OR(COUNTIF('01_rules'!$G$2:$G$39,A59)&gt;0,COUNTIF('06_errors'!$D$2:$D$401,A59)&gt;0),"교재와 중복!",""))</f>
        <v/>
      </c>
    </row>
    <row r="60" spans="1:7" ht="20.399999999999999" customHeight="1">
      <c r="A60" s="17" t="s">
        <v>459</v>
      </c>
      <c r="B60" s="17" t="s">
        <v>275</v>
      </c>
      <c r="C60" s="18" t="s">
        <v>460</v>
      </c>
      <c r="D60" s="19" t="s">
        <v>366</v>
      </c>
      <c r="E60" s="19" t="s">
        <v>95</v>
      </c>
      <c r="F60" t="str">
        <f>IF(B60="","",IF(OR(B60="NONE",COUNTIF('01_rules'!$A$2:$A$39,B60)&gt;0),"","rule 없음"))</f>
        <v/>
      </c>
      <c r="G60" t="str">
        <f>IF(A60="","",IF(OR(COUNTIF('01_rules'!$G$2:$G$39,A60)&gt;0,COUNTIF('06_errors'!$D$2:$D$401,A60)&gt;0),"교재와 중복!",""))</f>
        <v/>
      </c>
    </row>
    <row r="61" spans="1:7" ht="20.399999999999999" customHeight="1">
      <c r="A61" s="17" t="s">
        <v>461</v>
      </c>
      <c r="B61" s="17" t="s">
        <v>282</v>
      </c>
      <c r="C61" s="18" t="s">
        <v>462</v>
      </c>
      <c r="D61" s="19" t="s">
        <v>366</v>
      </c>
      <c r="E61" s="19" t="s">
        <v>95</v>
      </c>
      <c r="F61" t="str">
        <f>IF(B61="","",IF(OR(B61="NONE",COUNTIF('01_rules'!$A$2:$A$39,B61)&gt;0),"","rule 없음"))</f>
        <v/>
      </c>
      <c r="G61" t="str">
        <f>IF(A61="","",IF(OR(COUNTIF('01_rules'!$G$2:$G$39,A61)&gt;0,COUNTIF('06_errors'!$D$2:$D$401,A61)&gt;0),"교재와 중복!",""))</f>
        <v/>
      </c>
    </row>
    <row r="62" spans="1:7" ht="20.399999999999999" customHeight="1">
      <c r="A62" s="17" t="s">
        <v>463</v>
      </c>
      <c r="B62" s="17" t="s">
        <v>96</v>
      </c>
      <c r="C62" s="18" t="s">
        <v>464</v>
      </c>
      <c r="D62" s="19" t="s">
        <v>366</v>
      </c>
      <c r="E62" s="19" t="s">
        <v>95</v>
      </c>
      <c r="F62" t="str">
        <f>IF(B62="","",IF(OR(B62="NONE",COUNTIF('01_rules'!$A$2:$A$39,B62)&gt;0),"","rule 없음"))</f>
        <v/>
      </c>
      <c r="G62" t="str">
        <f>IF(A62="","",IF(OR(COUNTIF('01_rules'!$G$2:$G$39,A62)&gt;0,COUNTIF('06_errors'!$D$2:$D$401,A62)&gt;0),"교재와 중복!",""))</f>
        <v/>
      </c>
    </row>
    <row r="63" spans="1:7" ht="20.399999999999999" customHeight="1">
      <c r="A63" s="17" t="s">
        <v>465</v>
      </c>
      <c r="B63" s="17" t="s">
        <v>122</v>
      </c>
      <c r="C63" s="18" t="s">
        <v>466</v>
      </c>
      <c r="D63" s="19" t="s">
        <v>366</v>
      </c>
      <c r="E63" s="19" t="s">
        <v>95</v>
      </c>
      <c r="F63" t="str">
        <f>IF(B63="","",IF(OR(B63="NONE",COUNTIF('01_rules'!$A$2:$A$39,B63)&gt;0),"","rule 없음"))</f>
        <v/>
      </c>
      <c r="G63" t="str">
        <f>IF(A63="","",IF(OR(COUNTIF('01_rules'!$G$2:$G$39,A63)&gt;0,COUNTIF('06_errors'!$D$2:$D$401,A63)&gt;0),"교재와 중복!",""))</f>
        <v/>
      </c>
    </row>
    <row r="64" spans="1:7" ht="20.399999999999999" customHeight="1">
      <c r="A64" s="17" t="s">
        <v>467</v>
      </c>
      <c r="B64" s="17" t="s">
        <v>135</v>
      </c>
      <c r="C64" s="18" t="s">
        <v>468</v>
      </c>
      <c r="D64" s="19" t="s">
        <v>366</v>
      </c>
      <c r="E64" s="19" t="s">
        <v>95</v>
      </c>
      <c r="F64" t="str">
        <f>IF(B64="","",IF(OR(B64="NONE",COUNTIF('01_rules'!$A$2:$A$39,B64)&gt;0),"","rule 없음"))</f>
        <v/>
      </c>
      <c r="G64" t="str">
        <f>IF(A64="","",IF(OR(COUNTIF('01_rules'!$G$2:$G$39,A64)&gt;0,COUNTIF('06_errors'!$D$2:$D$401,A64)&gt;0),"교재와 중복!",""))</f>
        <v/>
      </c>
    </row>
    <row r="65" spans="1:7" ht="20.399999999999999" customHeight="1">
      <c r="A65" s="17" t="s">
        <v>469</v>
      </c>
      <c r="B65" s="17" t="s">
        <v>148</v>
      </c>
      <c r="C65" s="18" t="s">
        <v>470</v>
      </c>
      <c r="D65" s="19" t="s">
        <v>366</v>
      </c>
      <c r="E65" s="19" t="s">
        <v>95</v>
      </c>
      <c r="F65" t="str">
        <f>IF(B65="","",IF(OR(B65="NONE",COUNTIF('01_rules'!$A$2:$A$39,B65)&gt;0),"","rule 없음"))</f>
        <v/>
      </c>
      <c r="G65" t="str">
        <f>IF(A65="","",IF(OR(COUNTIF('01_rules'!$G$2:$G$39,A65)&gt;0,COUNTIF('06_errors'!$D$2:$D$401,A65)&gt;0),"교재와 중복!",""))</f>
        <v/>
      </c>
    </row>
    <row r="66" spans="1:7" ht="20.399999999999999" customHeight="1">
      <c r="A66" s="17" t="s">
        <v>471</v>
      </c>
      <c r="B66" s="17" t="s">
        <v>161</v>
      </c>
      <c r="C66" s="18" t="s">
        <v>472</v>
      </c>
      <c r="D66" s="19" t="s">
        <v>366</v>
      </c>
      <c r="E66" s="19" t="s">
        <v>95</v>
      </c>
      <c r="F66" t="str">
        <f>IF(B66="","",IF(OR(B66="NONE",COUNTIF('01_rules'!$A$2:$A$39,B66)&gt;0),"","rule 없음"))</f>
        <v/>
      </c>
      <c r="G66" t="str">
        <f>IF(A66="","",IF(OR(COUNTIF('01_rules'!$G$2:$G$39,A66)&gt;0,COUNTIF('06_errors'!$D$2:$D$401,A66)&gt;0),"교재와 중복!",""))</f>
        <v/>
      </c>
    </row>
    <row r="67" spans="1:7" ht="20.399999999999999" customHeight="1">
      <c r="A67" s="17" t="s">
        <v>473</v>
      </c>
      <c r="B67" s="17" t="s">
        <v>174</v>
      </c>
      <c r="C67" s="18" t="s">
        <v>474</v>
      </c>
      <c r="D67" s="19" t="s">
        <v>366</v>
      </c>
      <c r="E67" s="19" t="s">
        <v>95</v>
      </c>
      <c r="F67" t="str">
        <f>IF(B67="","",IF(OR(B67="NONE",COUNTIF('01_rules'!$A$2:$A$39,B67)&gt;0),"","rule 없음"))</f>
        <v/>
      </c>
      <c r="G67" t="str">
        <f>IF(A67="","",IF(OR(COUNTIF('01_rules'!$G$2:$G$39,A67)&gt;0,COUNTIF('06_errors'!$D$2:$D$401,A67)&gt;0),"교재와 중복!",""))</f>
        <v/>
      </c>
    </row>
    <row r="68" spans="1:7" ht="20.399999999999999" customHeight="1">
      <c r="A68" s="17" t="s">
        <v>475</v>
      </c>
      <c r="B68" s="17" t="s">
        <v>187</v>
      </c>
      <c r="C68" s="18" t="s">
        <v>476</v>
      </c>
      <c r="D68" s="19" t="s">
        <v>366</v>
      </c>
      <c r="E68" s="19" t="s">
        <v>95</v>
      </c>
      <c r="F68" t="str">
        <f>IF(B68="","",IF(OR(B68="NONE",COUNTIF('01_rules'!$A$2:$A$39,B68)&gt;0),"","rule 없음"))</f>
        <v/>
      </c>
      <c r="G68" t="str">
        <f>IF(A68="","",IF(OR(COUNTIF('01_rules'!$G$2:$G$39,A68)&gt;0,COUNTIF('06_errors'!$D$2:$D$401,A68)&gt;0),"교재와 중복!",""))</f>
        <v/>
      </c>
    </row>
    <row r="69" spans="1:7" ht="20.399999999999999" customHeight="1">
      <c r="A69" s="17" t="s">
        <v>477</v>
      </c>
      <c r="B69" s="17" t="s">
        <v>201</v>
      </c>
      <c r="C69" s="18" t="s">
        <v>478</v>
      </c>
      <c r="D69" s="19" t="s">
        <v>366</v>
      </c>
      <c r="E69" s="19" t="s">
        <v>95</v>
      </c>
      <c r="F69" t="str">
        <f>IF(B69="","",IF(OR(B69="NONE",COUNTIF('01_rules'!$A$2:$A$39,B69)&gt;0),"","rule 없음"))</f>
        <v/>
      </c>
      <c r="G69" t="str">
        <f>IF(A69="","",IF(OR(COUNTIF('01_rules'!$G$2:$G$39,A69)&gt;0,COUNTIF('06_errors'!$D$2:$D$401,A69)&gt;0),"교재와 중복!",""))</f>
        <v/>
      </c>
    </row>
    <row r="70" spans="1:7" ht="20.399999999999999" customHeight="1">
      <c r="A70" s="17" t="s">
        <v>479</v>
      </c>
      <c r="B70" s="17" t="s">
        <v>215</v>
      </c>
      <c r="C70" s="18" t="s">
        <v>480</v>
      </c>
      <c r="D70" s="19" t="s">
        <v>366</v>
      </c>
      <c r="E70" s="19" t="s">
        <v>95</v>
      </c>
      <c r="F70" t="str">
        <f>IF(B70="","",IF(OR(B70="NONE",COUNTIF('01_rules'!$A$2:$A$39,B70)&gt;0),"","rule 없음"))</f>
        <v/>
      </c>
      <c r="G70" t="str">
        <f>IF(A70="","",IF(OR(COUNTIF('01_rules'!$G$2:$G$39,A70)&gt;0,COUNTIF('06_errors'!$D$2:$D$401,A70)&gt;0),"교재와 중복!",""))</f>
        <v/>
      </c>
    </row>
    <row r="71" spans="1:7" ht="20.399999999999999" customHeight="1">
      <c r="A71" s="17" t="s">
        <v>481</v>
      </c>
      <c r="B71" s="17" t="s">
        <v>229</v>
      </c>
      <c r="C71" s="18" t="s">
        <v>482</v>
      </c>
      <c r="D71" s="19" t="s">
        <v>366</v>
      </c>
      <c r="E71" s="19" t="s">
        <v>95</v>
      </c>
      <c r="F71" t="str">
        <f>IF(B71="","",IF(OR(B71="NONE",COUNTIF('01_rules'!$A$2:$A$39,B71)&gt;0),"","rule 없음"))</f>
        <v/>
      </c>
      <c r="G71" t="str">
        <f>IF(A71="","",IF(OR(COUNTIF('01_rules'!$G$2:$G$39,A71)&gt;0,COUNTIF('06_errors'!$D$2:$D$401,A71)&gt;0),"교재와 중복!",""))</f>
        <v/>
      </c>
    </row>
    <row r="72" spans="1:7" ht="20.399999999999999" customHeight="1">
      <c r="A72" s="17" t="s">
        <v>483</v>
      </c>
      <c r="B72" s="17" t="s">
        <v>360</v>
      </c>
      <c r="C72" s="18" t="s">
        <v>363</v>
      </c>
      <c r="D72" s="19" t="s">
        <v>366</v>
      </c>
      <c r="E72" s="19" t="s">
        <v>95</v>
      </c>
      <c r="F72" t="str">
        <f>IF(B72="","",IF(OR(B72="NONE",COUNTIF('01_rules'!$A$2:$A$39,B72)&gt;0),"","rule 없음"))</f>
        <v/>
      </c>
      <c r="G72" t="str">
        <f>IF(A72="","",IF(OR(COUNTIF('01_rules'!$G$2:$G$39,A72)&gt;0,COUNTIF('06_errors'!$D$2:$D$401,A72)&gt;0),"교재와 중복!",""))</f>
        <v/>
      </c>
    </row>
    <row r="73" spans="1:7" ht="20.399999999999999" customHeight="1">
      <c r="A73" s="17" t="s">
        <v>484</v>
      </c>
      <c r="B73" s="17" t="s">
        <v>360</v>
      </c>
      <c r="C73" s="18" t="s">
        <v>363</v>
      </c>
      <c r="D73" s="19" t="s">
        <v>366</v>
      </c>
      <c r="E73" s="19" t="s">
        <v>95</v>
      </c>
      <c r="F73" t="str">
        <f>IF(B73="","",IF(OR(B73="NONE",COUNTIF('01_rules'!$A$2:$A$39,B73)&gt;0),"","rule 없음"))</f>
        <v/>
      </c>
      <c r="G73" t="str">
        <f>IF(A73="","",IF(OR(COUNTIF('01_rules'!$G$2:$G$39,A73)&gt;0,COUNTIF('06_errors'!$D$2:$D$401,A73)&gt;0),"교재와 중복!",""))</f>
        <v/>
      </c>
    </row>
    <row r="76" spans="1:7" ht="14.25" customHeight="1">
      <c r="A76" s="3" t="s">
        <v>485</v>
      </c>
      <c r="B76" s="3"/>
      <c r="C76" s="3"/>
      <c r="D76" s="3"/>
      <c r="E76" s="3"/>
      <c r="F76" s="3"/>
      <c r="G76" s="3"/>
    </row>
    <row r="77" spans="1:7" ht="14.25" customHeight="1">
      <c r="A77" s="3"/>
      <c r="B77" s="3"/>
      <c r="C77" s="3"/>
      <c r="D77" s="3"/>
      <c r="E77" s="3"/>
      <c r="F77" s="3"/>
      <c r="G77" s="3"/>
    </row>
    <row r="78" spans="1:7" ht="14.25" customHeight="1">
      <c r="A78" s="3"/>
      <c r="B78" s="3"/>
      <c r="C78" s="3"/>
      <c r="D78" s="3"/>
      <c r="E78" s="3"/>
      <c r="F78" s="3"/>
      <c r="G78" s="3"/>
    </row>
  </sheetData>
  <mergeCells count="1">
    <mergeCell ref="A76:G78"/>
  </mergeCells>
  <phoneticPr fontId="16" type="noConversion"/>
  <conditionalFormatting sqref="F2:G46">
    <cfRule type="expression" dxfId="4" priority="2">
      <formula>AND(F2&lt;&gt;"",F2&lt;&gt;"OK")</formula>
    </cfRule>
  </conditionalFormatting>
  <dataValidations count="1">
    <dataValidation type="list" allowBlank="1" sqref="E2:E46" xr:uid="{00000000-0002-0000-0200-000000000000}">
      <formula1>"미검수,확인,수정필요"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topLeftCell="F1" zoomScaleNormal="100" workbookViewId="0">
      <pane ySplit="1" topLeftCell="A2" activePane="bottomLeft" state="frozen"/>
      <selection pane="bottomLeft" activeCell="L3" sqref="L3"/>
    </sheetView>
  </sheetViews>
  <sheetFormatPr defaultColWidth="8.6640625" defaultRowHeight="14.4"/>
  <cols>
    <col min="1" max="1" width="7" customWidth="1"/>
    <col min="2" max="2" width="8" customWidth="1"/>
    <col min="3" max="3" width="28.77734375" customWidth="1"/>
    <col min="4" max="4" width="50.5546875" customWidth="1"/>
    <col min="5" max="5" width="45.77734375" customWidth="1"/>
    <col min="6" max="6" width="20" customWidth="1"/>
    <col min="7" max="7" width="11" customWidth="1"/>
    <col min="8" max="8" width="67" customWidth="1"/>
  </cols>
  <sheetData>
    <row r="1" spans="1:8" ht="31.5" customHeight="1">
      <c r="A1" s="14" t="s">
        <v>486</v>
      </c>
      <c r="B1" s="14" t="s">
        <v>74</v>
      </c>
      <c r="C1" s="14" t="s">
        <v>487</v>
      </c>
      <c r="D1" s="14" t="s">
        <v>488</v>
      </c>
      <c r="E1" s="14" t="s">
        <v>489</v>
      </c>
      <c r="F1" s="14" t="s">
        <v>490</v>
      </c>
      <c r="G1" s="15" t="s">
        <v>80</v>
      </c>
      <c r="H1" s="15" t="s">
        <v>82</v>
      </c>
    </row>
    <row r="2" spans="1:8" ht="34.799999999999997" customHeight="1">
      <c r="A2" s="17">
        <v>3</v>
      </c>
      <c r="B2" s="17" t="s">
        <v>89</v>
      </c>
      <c r="C2" s="17" t="s">
        <v>491</v>
      </c>
      <c r="D2" s="18" t="s">
        <v>492</v>
      </c>
      <c r="E2" s="17" t="s">
        <v>493</v>
      </c>
      <c r="F2" s="17" t="s">
        <v>494</v>
      </c>
      <c r="G2" s="19" t="s">
        <v>95</v>
      </c>
      <c r="H2" s="19" t="s">
        <v>495</v>
      </c>
    </row>
    <row r="3" spans="1:8" ht="34.799999999999997" customHeight="1">
      <c r="A3" s="17">
        <v>3</v>
      </c>
      <c r="B3" s="17" t="s">
        <v>104</v>
      </c>
      <c r="C3" s="17" t="s">
        <v>496</v>
      </c>
      <c r="D3" s="18" t="s">
        <v>497</v>
      </c>
      <c r="E3" s="17" t="s">
        <v>498</v>
      </c>
      <c r="F3" s="17" t="s">
        <v>499</v>
      </c>
      <c r="G3" s="19" t="s">
        <v>95</v>
      </c>
      <c r="H3" s="19" t="s">
        <v>495</v>
      </c>
    </row>
    <row r="4" spans="1:8" ht="34.799999999999997" customHeight="1">
      <c r="A4" s="17">
        <v>3</v>
      </c>
      <c r="B4" s="17" t="s">
        <v>117</v>
      </c>
      <c r="C4" s="17" t="s">
        <v>500</v>
      </c>
      <c r="D4" s="18" t="s">
        <v>501</v>
      </c>
      <c r="E4" s="17" t="s">
        <v>502</v>
      </c>
      <c r="F4" s="17" t="s">
        <v>503</v>
      </c>
      <c r="G4" s="19" t="s">
        <v>95</v>
      </c>
      <c r="H4" s="19" t="s">
        <v>495</v>
      </c>
    </row>
    <row r="5" spans="1:8" ht="34.799999999999997" customHeight="1">
      <c r="A5" s="17">
        <v>3</v>
      </c>
      <c r="B5" s="17" t="s">
        <v>130</v>
      </c>
      <c r="C5" s="17" t="s">
        <v>504</v>
      </c>
      <c r="D5" s="18" t="s">
        <v>505</v>
      </c>
      <c r="E5" s="17" t="s">
        <v>506</v>
      </c>
      <c r="F5" s="17" t="s">
        <v>507</v>
      </c>
      <c r="G5" s="19" t="s">
        <v>95</v>
      </c>
      <c r="H5" s="19" t="s">
        <v>495</v>
      </c>
    </row>
    <row r="6" spans="1:8" ht="34.799999999999997" customHeight="1">
      <c r="A6" s="17">
        <v>3</v>
      </c>
      <c r="B6" s="17" t="s">
        <v>143</v>
      </c>
      <c r="C6" s="17" t="s">
        <v>508</v>
      </c>
      <c r="D6" s="18" t="s">
        <v>509</v>
      </c>
      <c r="E6" s="17" t="s">
        <v>510</v>
      </c>
      <c r="F6" s="17" t="s">
        <v>511</v>
      </c>
      <c r="G6" s="19" t="s">
        <v>95</v>
      </c>
      <c r="H6" s="19" t="s">
        <v>495</v>
      </c>
    </row>
    <row r="7" spans="1:8" ht="34.799999999999997" customHeight="1">
      <c r="A7" s="17">
        <v>3</v>
      </c>
      <c r="B7" s="17" t="s">
        <v>156</v>
      </c>
      <c r="C7" s="17" t="s">
        <v>512</v>
      </c>
      <c r="D7" s="18" t="s">
        <v>513</v>
      </c>
      <c r="E7" s="17" t="s">
        <v>514</v>
      </c>
      <c r="F7" s="17" t="s">
        <v>515</v>
      </c>
      <c r="G7" s="19" t="s">
        <v>95</v>
      </c>
      <c r="H7" s="19" t="s">
        <v>495</v>
      </c>
    </row>
    <row r="8" spans="1:8" ht="34.799999999999997" customHeight="1">
      <c r="A8" s="17">
        <v>3</v>
      </c>
      <c r="B8" s="17" t="s">
        <v>163</v>
      </c>
      <c r="C8" s="17" t="s">
        <v>516</v>
      </c>
      <c r="D8" s="18" t="s">
        <v>517</v>
      </c>
      <c r="E8" s="17" t="s">
        <v>518</v>
      </c>
      <c r="F8" s="17" t="s">
        <v>519</v>
      </c>
      <c r="G8" s="19" t="s">
        <v>95</v>
      </c>
      <c r="H8" s="19" t="s">
        <v>495</v>
      </c>
    </row>
    <row r="9" spans="1:8" ht="34.799999999999997" customHeight="1">
      <c r="A9" s="17">
        <v>3</v>
      </c>
      <c r="B9" s="17" t="s">
        <v>176</v>
      </c>
      <c r="C9" s="17" t="s">
        <v>520</v>
      </c>
      <c r="D9" s="18" t="s">
        <v>521</v>
      </c>
      <c r="E9" s="17" t="s">
        <v>522</v>
      </c>
      <c r="F9" s="17" t="s">
        <v>523</v>
      </c>
      <c r="G9" s="19" t="s">
        <v>95</v>
      </c>
      <c r="H9" s="19" t="s">
        <v>495</v>
      </c>
    </row>
    <row r="10" spans="1:8" ht="34.799999999999997" customHeight="1">
      <c r="A10" s="17">
        <v>3</v>
      </c>
      <c r="B10" s="17" t="s">
        <v>189</v>
      </c>
      <c r="C10" s="17" t="s">
        <v>524</v>
      </c>
      <c r="D10" s="18" t="s">
        <v>525</v>
      </c>
      <c r="E10" s="17" t="s">
        <v>526</v>
      </c>
      <c r="F10" s="17" t="s">
        <v>527</v>
      </c>
      <c r="G10" s="19" t="s">
        <v>95</v>
      </c>
      <c r="H10" s="19" t="s">
        <v>495</v>
      </c>
    </row>
    <row r="11" spans="1:8" ht="34.799999999999997" customHeight="1">
      <c r="A11" s="17">
        <v>3</v>
      </c>
      <c r="B11" s="17" t="s">
        <v>196</v>
      </c>
      <c r="C11" s="17" t="s">
        <v>528</v>
      </c>
      <c r="D11" s="18" t="s">
        <v>529</v>
      </c>
      <c r="E11" s="17" t="s">
        <v>530</v>
      </c>
      <c r="F11" s="17" t="s">
        <v>531</v>
      </c>
      <c r="G11" s="19" t="s">
        <v>95</v>
      </c>
      <c r="H11" s="19" t="s">
        <v>495</v>
      </c>
    </row>
    <row r="12" spans="1:8" ht="34.799999999999997" customHeight="1">
      <c r="A12" s="17">
        <v>3</v>
      </c>
      <c r="B12" s="17" t="s">
        <v>203</v>
      </c>
      <c r="C12" s="17" t="s">
        <v>532</v>
      </c>
      <c r="D12" s="18" t="s">
        <v>533</v>
      </c>
      <c r="E12" s="17" t="s">
        <v>534</v>
      </c>
      <c r="F12" s="17" t="s">
        <v>535</v>
      </c>
      <c r="G12" s="19" t="s">
        <v>95</v>
      </c>
      <c r="H12" s="19" t="s">
        <v>495</v>
      </c>
    </row>
    <row r="13" spans="1:8" ht="34.799999999999997" customHeight="1">
      <c r="A13" s="17">
        <v>3</v>
      </c>
      <c r="B13" s="17" t="s">
        <v>210</v>
      </c>
      <c r="C13" s="17" t="s">
        <v>536</v>
      </c>
      <c r="D13" s="18" t="s">
        <v>537</v>
      </c>
      <c r="E13" s="17" t="s">
        <v>538</v>
      </c>
      <c r="F13" s="17" t="s">
        <v>539</v>
      </c>
      <c r="G13" s="19" t="s">
        <v>95</v>
      </c>
      <c r="H13" s="19" t="s">
        <v>495</v>
      </c>
    </row>
    <row r="14" spans="1:8" ht="34.799999999999997" customHeight="1">
      <c r="A14" s="17">
        <v>3</v>
      </c>
      <c r="B14" s="17" t="s">
        <v>217</v>
      </c>
      <c r="C14" s="17" t="s">
        <v>540</v>
      </c>
      <c r="D14" s="18" t="s">
        <v>541</v>
      </c>
      <c r="E14" s="17" t="s">
        <v>542</v>
      </c>
      <c r="F14" s="17" t="s">
        <v>543</v>
      </c>
      <c r="G14" s="19" t="s">
        <v>95</v>
      </c>
      <c r="H14" s="19" t="s">
        <v>495</v>
      </c>
    </row>
    <row r="15" spans="1:8" ht="34.799999999999997" customHeight="1">
      <c r="A15" s="17">
        <v>3</v>
      </c>
      <c r="B15" s="17" t="s">
        <v>224</v>
      </c>
      <c r="C15" s="17" t="s">
        <v>544</v>
      </c>
      <c r="D15" s="18" t="s">
        <v>545</v>
      </c>
      <c r="E15" s="17" t="s">
        <v>546</v>
      </c>
      <c r="F15" s="17" t="s">
        <v>547</v>
      </c>
      <c r="G15" s="19" t="s">
        <v>95</v>
      </c>
      <c r="H15" s="19" t="s">
        <v>495</v>
      </c>
    </row>
    <row r="16" spans="1:8" ht="34.799999999999997" customHeight="1">
      <c r="A16" s="17">
        <v>3</v>
      </c>
      <c r="B16" s="17" t="s">
        <v>237</v>
      </c>
      <c r="C16" s="17" t="s">
        <v>548</v>
      </c>
      <c r="D16" s="18" t="s">
        <v>549</v>
      </c>
      <c r="E16" s="17" t="s">
        <v>550</v>
      </c>
      <c r="F16" s="17" t="s">
        <v>551</v>
      </c>
      <c r="G16" s="19" t="s">
        <v>95</v>
      </c>
      <c r="H16" s="19" t="s">
        <v>495</v>
      </c>
    </row>
    <row r="17" spans="1:8" ht="34.799999999999997" customHeight="1">
      <c r="A17" s="17">
        <v>3</v>
      </c>
      <c r="B17" s="17" t="s">
        <v>244</v>
      </c>
      <c r="C17" s="17" t="s">
        <v>552</v>
      </c>
      <c r="D17" s="18" t="s">
        <v>553</v>
      </c>
      <c r="E17" s="17" t="s">
        <v>554</v>
      </c>
      <c r="F17" s="17" t="s">
        <v>555</v>
      </c>
      <c r="G17" s="19" t="s">
        <v>95</v>
      </c>
      <c r="H17" s="19" t="s">
        <v>495</v>
      </c>
    </row>
    <row r="18" spans="1:8" ht="34.799999999999997" customHeight="1">
      <c r="A18" s="17">
        <v>3</v>
      </c>
      <c r="B18" s="17" t="s">
        <v>251</v>
      </c>
      <c r="C18" s="17" t="s">
        <v>556</v>
      </c>
      <c r="D18" s="18" t="s">
        <v>557</v>
      </c>
      <c r="E18" s="17" t="s">
        <v>558</v>
      </c>
      <c r="F18" s="17" t="s">
        <v>559</v>
      </c>
      <c r="G18" s="19" t="s">
        <v>95</v>
      </c>
      <c r="H18" s="19" t="s">
        <v>495</v>
      </c>
    </row>
    <row r="19" spans="1:8" ht="34.799999999999997" customHeight="1">
      <c r="A19" s="17">
        <v>3</v>
      </c>
      <c r="B19" s="17" t="s">
        <v>264</v>
      </c>
      <c r="C19" s="17" t="s">
        <v>560</v>
      </c>
      <c r="D19" s="18" t="s">
        <v>561</v>
      </c>
      <c r="E19" s="17" t="s">
        <v>562</v>
      </c>
      <c r="F19" s="17" t="s">
        <v>563</v>
      </c>
      <c r="G19" s="19" t="s">
        <v>95</v>
      </c>
      <c r="H19" s="19" t="s">
        <v>495</v>
      </c>
    </row>
    <row r="20" spans="1:8" ht="34.799999999999997" customHeight="1">
      <c r="A20" s="17">
        <v>3</v>
      </c>
      <c r="B20" s="17" t="s">
        <v>277</v>
      </c>
      <c r="C20" s="17" t="s">
        <v>564</v>
      </c>
      <c r="D20" s="18" t="s">
        <v>565</v>
      </c>
      <c r="E20" s="17" t="s">
        <v>566</v>
      </c>
      <c r="F20" s="17" t="s">
        <v>567</v>
      </c>
      <c r="G20" s="19" t="s">
        <v>95</v>
      </c>
      <c r="H20" s="19" t="s">
        <v>495</v>
      </c>
    </row>
    <row r="21" spans="1:8" ht="34.799999999999997" customHeight="1">
      <c r="A21" s="17">
        <v>3</v>
      </c>
      <c r="B21" s="17" t="s">
        <v>284</v>
      </c>
      <c r="C21" s="17" t="s">
        <v>568</v>
      </c>
      <c r="D21" s="18" t="s">
        <v>569</v>
      </c>
      <c r="E21" s="17" t="s">
        <v>570</v>
      </c>
      <c r="F21" s="17" t="s">
        <v>571</v>
      </c>
      <c r="G21" s="19" t="s">
        <v>95</v>
      </c>
      <c r="H21" s="19" t="s">
        <v>495</v>
      </c>
    </row>
    <row r="22" spans="1:8" ht="15" customHeight="1"/>
    <row r="23" spans="1:8" ht="15" customHeight="1">
      <c r="A23" s="22" t="s">
        <v>572</v>
      </c>
    </row>
    <row r="24" spans="1:8" ht="15" customHeight="1"/>
    <row r="25" spans="1:8" ht="15" customHeight="1"/>
    <row r="26" spans="1:8" ht="15" customHeight="1"/>
    <row r="27" spans="1:8" ht="15" customHeight="1"/>
    <row r="28" spans="1:8" ht="15" customHeight="1"/>
    <row r="29" spans="1:8" ht="15" customHeight="1"/>
    <row r="30" spans="1:8" ht="15" customHeight="1"/>
    <row r="31" spans="1:8" ht="15" customHeight="1"/>
    <row r="33" spans="1:8" ht="15" customHeight="1">
      <c r="A33" s="4"/>
      <c r="B33" s="4"/>
      <c r="C33" s="4"/>
      <c r="D33" s="4"/>
      <c r="E33" s="4"/>
      <c r="F33" s="4"/>
      <c r="G33" s="4"/>
      <c r="H33" s="4"/>
    </row>
    <row r="34" spans="1:8" ht="14.25" customHeight="1">
      <c r="A34" s="4"/>
      <c r="B34" s="4"/>
      <c r="C34" s="4"/>
      <c r="D34" s="4"/>
      <c r="E34" s="4"/>
      <c r="F34" s="4"/>
      <c r="G34" s="4"/>
      <c r="H34" s="4"/>
    </row>
    <row r="35" spans="1:8" ht="14.25" customHeight="1">
      <c r="A35" s="4"/>
      <c r="B35" s="4"/>
      <c r="C35" s="4"/>
      <c r="D35" s="4"/>
      <c r="E35" s="4"/>
      <c r="F35" s="4"/>
      <c r="G35" s="4"/>
      <c r="H35" s="4"/>
    </row>
  </sheetData>
  <mergeCells count="1">
    <mergeCell ref="A33:H35"/>
  </mergeCells>
  <phoneticPr fontId="16" type="noConversion"/>
  <dataValidations count="1">
    <dataValidation type="list" allowBlank="1" sqref="G2:G21" xr:uid="{00000000-0002-0000-0300-000000000000}">
      <formula1>"미검수,확인,수정필요"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1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/>
  <cols>
    <col min="1" max="1" width="9" customWidth="1"/>
    <col min="2" max="2" width="7" customWidth="1"/>
    <col min="3" max="3" width="8" customWidth="1"/>
    <col min="4" max="4" width="40.33203125" customWidth="1"/>
    <col min="5" max="5" width="41.109375" customWidth="1"/>
    <col min="6" max="6" width="37.109375" customWidth="1"/>
    <col min="7" max="7" width="9" customWidth="1"/>
    <col min="8" max="8" width="11" customWidth="1"/>
    <col min="9" max="9" width="20" customWidth="1"/>
    <col min="10" max="10" width="11" customWidth="1"/>
    <col min="11" max="11" width="12" customWidth="1"/>
    <col min="12" max="12" width="11" customWidth="1"/>
  </cols>
  <sheetData>
    <row r="1" spans="1:12" ht="31.5" customHeight="1">
      <c r="A1" s="14" t="s">
        <v>72</v>
      </c>
      <c r="B1" s="14" t="s">
        <v>486</v>
      </c>
      <c r="C1" s="14" t="s">
        <v>74</v>
      </c>
      <c r="D1" s="14" t="s">
        <v>75</v>
      </c>
      <c r="E1" s="14" t="s">
        <v>573</v>
      </c>
      <c r="F1" s="14" t="s">
        <v>574</v>
      </c>
      <c r="G1" s="14" t="s">
        <v>575</v>
      </c>
      <c r="H1" s="15" t="s">
        <v>80</v>
      </c>
      <c r="I1" s="15" t="s">
        <v>82</v>
      </c>
      <c r="J1" s="16" t="s">
        <v>83</v>
      </c>
      <c r="K1" s="16" t="s">
        <v>343</v>
      </c>
      <c r="L1" s="16" t="s">
        <v>86</v>
      </c>
    </row>
    <row r="2" spans="1:12" ht="15" customHeight="1">
      <c r="A2" s="17" t="s">
        <v>576</v>
      </c>
      <c r="B2" s="17">
        <v>3</v>
      </c>
      <c r="C2" s="17" t="s">
        <v>89</v>
      </c>
      <c r="D2" s="17" t="s">
        <v>577</v>
      </c>
      <c r="E2" s="18" t="s">
        <v>578</v>
      </c>
      <c r="F2" s="18" t="s">
        <v>99</v>
      </c>
      <c r="G2" s="17" t="s">
        <v>96</v>
      </c>
      <c r="H2" s="19" t="s">
        <v>95</v>
      </c>
      <c r="I2" s="19"/>
      <c r="J2" s="20" t="str">
        <f t="shared" ref="J2:J65" si="0">IF(A2="","",IF(COUNTIF($A$2:$A$401,A2)&gt;1,"중복",""))</f>
        <v/>
      </c>
      <c r="K2" s="20" t="str">
        <f>IF(G2="","",IF(COUNTIF('01_rules'!$A$2:$A$39,G2)=0,"rule 없음",""))</f>
        <v/>
      </c>
      <c r="L2" s="20" t="str">
        <f>IF(G2="","",IF(ISNUMBER(SEARCH(G2,IFERROR(VLOOKUP(C2,'03_units'!$B$2:$F$21,5,FALSE()),""))),"","unit 불일치"))</f>
        <v/>
      </c>
    </row>
    <row r="3" spans="1:12" ht="15" customHeight="1">
      <c r="A3" s="17" t="s">
        <v>579</v>
      </c>
      <c r="B3" s="17">
        <v>3</v>
      </c>
      <c r="C3" s="17" t="s">
        <v>89</v>
      </c>
      <c r="D3" s="17" t="s">
        <v>580</v>
      </c>
      <c r="E3" s="18" t="s">
        <v>581</v>
      </c>
      <c r="F3" s="18" t="s">
        <v>99</v>
      </c>
      <c r="G3" s="17" t="s">
        <v>96</v>
      </c>
      <c r="H3" s="19" t="s">
        <v>95</v>
      </c>
      <c r="I3" s="19"/>
      <c r="J3" s="20" t="str">
        <f t="shared" si="0"/>
        <v/>
      </c>
      <c r="K3" s="20" t="str">
        <f>IF(G3="","",IF(COUNTIF('01_rules'!$A$2:$A$39,G3)=0,"rule 없음",""))</f>
        <v/>
      </c>
      <c r="L3" s="20" t="str">
        <f>IF(G3="","",IF(ISNUMBER(SEARCH(G3,IFERROR(VLOOKUP(C3,'03_units'!$B$2:$F$21,5,FALSE()),""))),"","unit 불일치"))</f>
        <v/>
      </c>
    </row>
    <row r="4" spans="1:12" ht="15" customHeight="1">
      <c r="A4" s="17" t="s">
        <v>582</v>
      </c>
      <c r="B4" s="17">
        <v>3</v>
      </c>
      <c r="C4" s="17" t="s">
        <v>89</v>
      </c>
      <c r="D4" s="17" t="s">
        <v>583</v>
      </c>
      <c r="E4" s="18" t="s">
        <v>584</v>
      </c>
      <c r="F4" s="18" t="s">
        <v>99</v>
      </c>
      <c r="G4" s="17" t="s">
        <v>96</v>
      </c>
      <c r="H4" s="19" t="s">
        <v>95</v>
      </c>
      <c r="I4" s="19"/>
      <c r="J4" s="20" t="str">
        <f t="shared" si="0"/>
        <v/>
      </c>
      <c r="K4" s="20" t="str">
        <f>IF(G4="","",IF(COUNTIF('01_rules'!$A$2:$A$39,G4)=0,"rule 없음",""))</f>
        <v/>
      </c>
      <c r="L4" s="20" t="str">
        <f>IF(G4="","",IF(ISNUMBER(SEARCH(G4,IFERROR(VLOOKUP(C4,'03_units'!$B$2:$F$21,5,FALSE()),""))),"","unit 불일치"))</f>
        <v/>
      </c>
    </row>
    <row r="5" spans="1:12" ht="15" customHeight="1">
      <c r="A5" s="17" t="s">
        <v>585</v>
      </c>
      <c r="B5" s="17">
        <v>3</v>
      </c>
      <c r="C5" s="17" t="s">
        <v>89</v>
      </c>
      <c r="D5" s="17" t="s">
        <v>586</v>
      </c>
      <c r="E5" s="18" t="s">
        <v>587</v>
      </c>
      <c r="F5" s="18" t="s">
        <v>99</v>
      </c>
      <c r="G5" s="17" t="s">
        <v>96</v>
      </c>
      <c r="H5" s="19" t="s">
        <v>95</v>
      </c>
      <c r="I5" s="19"/>
      <c r="J5" s="20" t="str">
        <f t="shared" si="0"/>
        <v/>
      </c>
      <c r="K5" s="20" t="str">
        <f>IF(G5="","",IF(COUNTIF('01_rules'!$A$2:$A$39,G5)=0,"rule 없음",""))</f>
        <v/>
      </c>
      <c r="L5" s="20" t="str">
        <f>IF(G5="","",IF(ISNUMBER(SEARCH(G5,IFERROR(VLOOKUP(C5,'03_units'!$B$2:$F$21,5,FALSE()),""))),"","unit 불일치"))</f>
        <v/>
      </c>
    </row>
    <row r="6" spans="1:12" ht="15" customHeight="1">
      <c r="A6" s="17" t="s">
        <v>588</v>
      </c>
      <c r="B6" s="17">
        <v>3</v>
      </c>
      <c r="C6" s="17" t="s">
        <v>89</v>
      </c>
      <c r="D6" s="17" t="s">
        <v>589</v>
      </c>
      <c r="E6" s="18" t="s">
        <v>590</v>
      </c>
      <c r="F6" s="18" t="s">
        <v>99</v>
      </c>
      <c r="G6" s="17" t="s">
        <v>96</v>
      </c>
      <c r="H6" s="19" t="s">
        <v>95</v>
      </c>
      <c r="I6" s="19"/>
      <c r="J6" s="20" t="str">
        <f t="shared" si="0"/>
        <v/>
      </c>
      <c r="K6" s="20" t="str">
        <f>IF(G6="","",IF(COUNTIF('01_rules'!$A$2:$A$39,G6)=0,"rule 없음",""))</f>
        <v/>
      </c>
      <c r="L6" s="20" t="str">
        <f>IF(G6="","",IF(ISNUMBER(SEARCH(G6,IFERROR(VLOOKUP(C6,'03_units'!$B$2:$F$21,5,FALSE()),""))),"","unit 불일치"))</f>
        <v/>
      </c>
    </row>
    <row r="7" spans="1:12" ht="15" customHeight="1">
      <c r="A7" s="17" t="s">
        <v>591</v>
      </c>
      <c r="B7" s="17">
        <v>4</v>
      </c>
      <c r="C7" s="17" t="s">
        <v>89</v>
      </c>
      <c r="D7" s="17" t="s">
        <v>592</v>
      </c>
      <c r="E7" s="18" t="s">
        <v>593</v>
      </c>
      <c r="F7" s="18" t="s">
        <v>99</v>
      </c>
      <c r="G7" s="17" t="s">
        <v>96</v>
      </c>
      <c r="H7" s="19" t="s">
        <v>95</v>
      </c>
      <c r="I7" s="19"/>
      <c r="J7" s="20" t="str">
        <f t="shared" si="0"/>
        <v/>
      </c>
      <c r="K7" s="20" t="str">
        <f>IF(G7="","",IF(COUNTIF('01_rules'!$A$2:$A$39,G7)=0,"rule 없음",""))</f>
        <v/>
      </c>
      <c r="L7" s="20" t="str">
        <f>IF(G7="","",IF(ISNUMBER(SEARCH(G7,IFERROR(VLOOKUP(C7,'03_units'!$B$2:$F$21,5,FALSE()),""))),"","unit 불일치"))</f>
        <v/>
      </c>
    </row>
    <row r="8" spans="1:12" ht="15" customHeight="1">
      <c r="A8" s="17" t="s">
        <v>594</v>
      </c>
      <c r="B8" s="17">
        <v>4</v>
      </c>
      <c r="C8" s="17" t="s">
        <v>89</v>
      </c>
      <c r="D8" s="17" t="s">
        <v>595</v>
      </c>
      <c r="E8" s="18" t="s">
        <v>596</v>
      </c>
      <c r="F8" s="18" t="s">
        <v>99</v>
      </c>
      <c r="G8" s="17" t="s">
        <v>96</v>
      </c>
      <c r="H8" s="19" t="s">
        <v>95</v>
      </c>
      <c r="I8" s="19"/>
      <c r="J8" s="20" t="str">
        <f t="shared" si="0"/>
        <v/>
      </c>
      <c r="K8" s="20" t="str">
        <f>IF(G8="","",IF(COUNTIF('01_rules'!$A$2:$A$39,G8)=0,"rule 없음",""))</f>
        <v/>
      </c>
      <c r="L8" s="20" t="str">
        <f>IF(G8="","",IF(ISNUMBER(SEARCH(G8,IFERROR(VLOOKUP(C8,'03_units'!$B$2:$F$21,5,FALSE()),""))),"","unit 불일치"))</f>
        <v/>
      </c>
    </row>
    <row r="9" spans="1:12" ht="15" customHeight="1">
      <c r="A9" s="17" t="s">
        <v>597</v>
      </c>
      <c r="B9" s="17">
        <v>4</v>
      </c>
      <c r="C9" s="17" t="s">
        <v>89</v>
      </c>
      <c r="D9" s="17" t="s">
        <v>598</v>
      </c>
      <c r="E9" s="18" t="s">
        <v>599</v>
      </c>
      <c r="F9" s="18" t="s">
        <v>91</v>
      </c>
      <c r="G9" s="17" t="s">
        <v>87</v>
      </c>
      <c r="H9" s="19" t="s">
        <v>95</v>
      </c>
      <c r="I9" s="19"/>
      <c r="J9" s="20" t="str">
        <f t="shared" si="0"/>
        <v/>
      </c>
      <c r="K9" s="20" t="str">
        <f>IF(G9="","",IF(COUNTIF('01_rules'!$A$2:$A$39,G9)=0,"rule 없음",""))</f>
        <v/>
      </c>
      <c r="L9" s="20" t="str">
        <f>IF(G9="","",IF(ISNUMBER(SEARCH(G9,IFERROR(VLOOKUP(C9,'03_units'!$B$2:$F$21,5,FALSE()),""))),"","unit 불일치"))</f>
        <v/>
      </c>
    </row>
    <row r="10" spans="1:12" ht="15" customHeight="1">
      <c r="A10" s="17" t="s">
        <v>600</v>
      </c>
      <c r="B10" s="17">
        <v>4</v>
      </c>
      <c r="C10" s="17" t="s">
        <v>89</v>
      </c>
      <c r="D10" s="17" t="s">
        <v>601</v>
      </c>
      <c r="E10" s="18" t="s">
        <v>602</v>
      </c>
      <c r="F10" s="18" t="s">
        <v>99</v>
      </c>
      <c r="G10" s="17" t="s">
        <v>96</v>
      </c>
      <c r="H10" s="19" t="s">
        <v>95</v>
      </c>
      <c r="I10" s="19"/>
      <c r="J10" s="20" t="str">
        <f t="shared" si="0"/>
        <v/>
      </c>
      <c r="K10" s="20" t="str">
        <f>IF(G10="","",IF(COUNTIF('01_rules'!$A$2:$A$39,G10)=0,"rule 없음",""))</f>
        <v/>
      </c>
      <c r="L10" s="20" t="str">
        <f>IF(G10="","",IF(ISNUMBER(SEARCH(G10,IFERROR(VLOOKUP(C10,'03_units'!$B$2:$F$21,5,FALSE()),""))),"","unit 불일치"))</f>
        <v/>
      </c>
    </row>
    <row r="11" spans="1:12" ht="15" customHeight="1">
      <c r="A11" s="17" t="s">
        <v>603</v>
      </c>
      <c r="B11" s="17">
        <v>4</v>
      </c>
      <c r="C11" s="17" t="s">
        <v>89</v>
      </c>
      <c r="D11" s="17" t="s">
        <v>604</v>
      </c>
      <c r="E11" s="18" t="s">
        <v>605</v>
      </c>
      <c r="F11" s="18" t="s">
        <v>99</v>
      </c>
      <c r="G11" s="17" t="s">
        <v>96</v>
      </c>
      <c r="H11" s="19" t="s">
        <v>95</v>
      </c>
      <c r="I11" s="19"/>
      <c r="J11" s="20" t="str">
        <f t="shared" si="0"/>
        <v/>
      </c>
      <c r="K11" s="20" t="str">
        <f>IF(G11="","",IF(COUNTIF('01_rules'!$A$2:$A$39,G11)=0,"rule 없음",""))</f>
        <v/>
      </c>
      <c r="L11" s="20" t="str">
        <f>IF(G11="","",IF(ISNUMBER(SEARCH(G11,IFERROR(VLOOKUP(C11,'03_units'!$B$2:$F$21,5,FALSE()),""))),"","unit 불일치"))</f>
        <v/>
      </c>
    </row>
    <row r="12" spans="1:12" ht="15" customHeight="1">
      <c r="A12" s="17" t="s">
        <v>606</v>
      </c>
      <c r="B12" s="17">
        <v>5</v>
      </c>
      <c r="C12" s="17" t="s">
        <v>89</v>
      </c>
      <c r="D12" s="17" t="s">
        <v>607</v>
      </c>
      <c r="E12" s="18" t="s">
        <v>608</v>
      </c>
      <c r="F12" s="18" t="s">
        <v>301</v>
      </c>
      <c r="G12" s="17" t="s">
        <v>297</v>
      </c>
      <c r="H12" s="19" t="s">
        <v>95</v>
      </c>
      <c r="I12" s="19"/>
      <c r="J12" s="20" t="str">
        <f t="shared" si="0"/>
        <v/>
      </c>
      <c r="K12" s="20" t="str">
        <f>IF(G12="","",IF(COUNTIF('01_rules'!$A$2:$A$39,G12)=0,"rule 없음",""))</f>
        <v/>
      </c>
      <c r="L12" s="20" t="str">
        <f>IF(G12="","",IF(ISNUMBER(SEARCH(G12,IFERROR(VLOOKUP(C12,'03_units'!$B$2:$F$21,5,FALSE()),""))),"","unit 불일치"))</f>
        <v/>
      </c>
    </row>
    <row r="13" spans="1:12" ht="15" customHeight="1">
      <c r="A13" s="17" t="s">
        <v>609</v>
      </c>
      <c r="B13" s="17">
        <v>5</v>
      </c>
      <c r="C13" s="17" t="s">
        <v>89</v>
      </c>
      <c r="D13" s="17" t="s">
        <v>610</v>
      </c>
      <c r="E13" s="18" t="s">
        <v>611</v>
      </c>
      <c r="F13" s="18" t="s">
        <v>301</v>
      </c>
      <c r="G13" s="17" t="s">
        <v>297</v>
      </c>
      <c r="H13" s="19" t="s">
        <v>95</v>
      </c>
      <c r="I13" s="19"/>
      <c r="J13" s="20" t="str">
        <f t="shared" si="0"/>
        <v/>
      </c>
      <c r="K13" s="20" t="str">
        <f>IF(G13="","",IF(COUNTIF('01_rules'!$A$2:$A$39,G13)=0,"rule 없음",""))</f>
        <v/>
      </c>
      <c r="L13" s="20" t="str">
        <f>IF(G13="","",IF(ISNUMBER(SEARCH(G13,IFERROR(VLOOKUP(C13,'03_units'!$B$2:$F$21,5,FALSE()),""))),"","unit 불일치"))</f>
        <v/>
      </c>
    </row>
    <row r="14" spans="1:12" ht="15" customHeight="1">
      <c r="A14" s="17" t="s">
        <v>612</v>
      </c>
      <c r="B14" s="17">
        <v>5</v>
      </c>
      <c r="C14" s="17" t="s">
        <v>89</v>
      </c>
      <c r="D14" s="17" t="s">
        <v>613</v>
      </c>
      <c r="E14" s="18" t="s">
        <v>614</v>
      </c>
      <c r="F14" s="18" t="s">
        <v>301</v>
      </c>
      <c r="G14" s="17" t="s">
        <v>297</v>
      </c>
      <c r="H14" s="19" t="s">
        <v>95</v>
      </c>
      <c r="I14" s="19"/>
      <c r="J14" s="20" t="str">
        <f t="shared" si="0"/>
        <v/>
      </c>
      <c r="K14" s="20" t="str">
        <f>IF(G14="","",IF(COUNTIF('01_rules'!$A$2:$A$39,G14)=0,"rule 없음",""))</f>
        <v/>
      </c>
      <c r="L14" s="20" t="str">
        <f>IF(G14="","",IF(ISNUMBER(SEARCH(G14,IFERROR(VLOOKUP(C14,'03_units'!$B$2:$F$21,5,FALSE()),""))),"","unit 불일치"))</f>
        <v/>
      </c>
    </row>
    <row r="15" spans="1:12" ht="15" customHeight="1">
      <c r="A15" s="17" t="s">
        <v>615</v>
      </c>
      <c r="B15" s="17">
        <v>5</v>
      </c>
      <c r="C15" s="17" t="s">
        <v>89</v>
      </c>
      <c r="D15" s="17" t="s">
        <v>616</v>
      </c>
      <c r="E15" s="18" t="s">
        <v>617</v>
      </c>
      <c r="F15" s="18" t="s">
        <v>301</v>
      </c>
      <c r="G15" s="17" t="s">
        <v>297</v>
      </c>
      <c r="H15" s="19" t="s">
        <v>95</v>
      </c>
      <c r="I15" s="19"/>
      <c r="J15" s="20" t="str">
        <f t="shared" si="0"/>
        <v/>
      </c>
      <c r="K15" s="20" t="str">
        <f>IF(G15="","",IF(COUNTIF('01_rules'!$A$2:$A$39,G15)=0,"rule 없음",""))</f>
        <v/>
      </c>
      <c r="L15" s="20" t="str">
        <f>IF(G15="","",IF(ISNUMBER(SEARCH(G15,IFERROR(VLOOKUP(C15,'03_units'!$B$2:$F$21,5,FALSE()),""))),"","unit 불일치"))</f>
        <v/>
      </c>
    </row>
    <row r="16" spans="1:12" ht="15" customHeight="1">
      <c r="A16" s="17" t="s">
        <v>618</v>
      </c>
      <c r="B16" s="17">
        <v>5</v>
      </c>
      <c r="C16" s="17" t="s">
        <v>89</v>
      </c>
      <c r="D16" s="17" t="s">
        <v>619</v>
      </c>
      <c r="E16" s="18" t="s">
        <v>620</v>
      </c>
      <c r="F16" s="18" t="s">
        <v>301</v>
      </c>
      <c r="G16" s="17" t="s">
        <v>297</v>
      </c>
      <c r="H16" s="19" t="s">
        <v>95</v>
      </c>
      <c r="I16" s="19"/>
      <c r="J16" s="20" t="str">
        <f t="shared" si="0"/>
        <v/>
      </c>
      <c r="K16" s="20" t="str">
        <f>IF(G16="","",IF(COUNTIF('01_rules'!$A$2:$A$39,G16)=0,"rule 없음",""))</f>
        <v/>
      </c>
      <c r="L16" s="20" t="str">
        <f>IF(G16="","",IF(ISNUMBER(SEARCH(G16,IFERROR(VLOOKUP(C16,'03_units'!$B$2:$F$21,5,FALSE()),""))),"","unit 불일치"))</f>
        <v/>
      </c>
    </row>
    <row r="17" spans="1:12" ht="15" customHeight="1">
      <c r="A17" s="17" t="s">
        <v>621</v>
      </c>
      <c r="B17" s="17">
        <v>6</v>
      </c>
      <c r="C17" s="17" t="s">
        <v>89</v>
      </c>
      <c r="D17" s="17" t="s">
        <v>622</v>
      </c>
      <c r="E17" s="18" t="s">
        <v>623</v>
      </c>
      <c r="F17" s="18" t="s">
        <v>301</v>
      </c>
      <c r="G17" s="17" t="s">
        <v>297</v>
      </c>
      <c r="H17" s="19" t="s">
        <v>95</v>
      </c>
      <c r="I17" s="19"/>
      <c r="J17" s="20" t="str">
        <f t="shared" si="0"/>
        <v/>
      </c>
      <c r="K17" s="20" t="str">
        <f>IF(G17="","",IF(COUNTIF('01_rules'!$A$2:$A$39,G17)=0,"rule 없음",""))</f>
        <v/>
      </c>
      <c r="L17" s="20" t="str">
        <f>IF(G17="","",IF(ISNUMBER(SEARCH(G17,IFERROR(VLOOKUP(C17,'03_units'!$B$2:$F$21,5,FALSE()),""))),"","unit 불일치"))</f>
        <v/>
      </c>
    </row>
    <row r="18" spans="1:12" ht="15" customHeight="1">
      <c r="A18" s="17" t="s">
        <v>624</v>
      </c>
      <c r="B18" s="17">
        <v>6</v>
      </c>
      <c r="C18" s="17" t="s">
        <v>89</v>
      </c>
      <c r="D18" s="17" t="s">
        <v>625</v>
      </c>
      <c r="E18" s="18" t="s">
        <v>626</v>
      </c>
      <c r="F18" s="18" t="s">
        <v>336</v>
      </c>
      <c r="G18" s="17" t="s">
        <v>334</v>
      </c>
      <c r="H18" s="19" t="s">
        <v>95</v>
      </c>
      <c r="I18" s="19"/>
      <c r="J18" s="20" t="str">
        <f t="shared" si="0"/>
        <v/>
      </c>
      <c r="K18" s="20" t="str">
        <f>IF(G18="","",IF(COUNTIF('01_rules'!$A$2:$A$39,G18)=0,"rule 없음",""))</f>
        <v/>
      </c>
      <c r="L18" s="20" t="str">
        <f>IF(G18="","",IF(ISNUMBER(SEARCH(G18,IFERROR(VLOOKUP(C18,'03_units'!$B$2:$F$21,5,FALSE()),""))),"","unit 불일치"))</f>
        <v/>
      </c>
    </row>
    <row r="19" spans="1:12" ht="15" customHeight="1">
      <c r="A19" s="17" t="s">
        <v>627</v>
      </c>
      <c r="B19" s="17">
        <v>6</v>
      </c>
      <c r="C19" s="17" t="s">
        <v>89</v>
      </c>
      <c r="D19" s="17" t="s">
        <v>628</v>
      </c>
      <c r="E19" s="18" t="s">
        <v>629</v>
      </c>
      <c r="F19" s="18" t="s">
        <v>336</v>
      </c>
      <c r="G19" s="17" t="s">
        <v>334</v>
      </c>
      <c r="H19" s="19" t="s">
        <v>95</v>
      </c>
      <c r="I19" s="19"/>
      <c r="J19" s="20" t="str">
        <f t="shared" si="0"/>
        <v/>
      </c>
      <c r="K19" s="20" t="str">
        <f>IF(G19="","",IF(COUNTIF('01_rules'!$A$2:$A$39,G19)=0,"rule 없음",""))</f>
        <v/>
      </c>
      <c r="L19" s="20" t="str">
        <f>IF(G19="","",IF(ISNUMBER(SEARCH(G19,IFERROR(VLOOKUP(C19,'03_units'!$B$2:$F$21,5,FALSE()),""))),"","unit 불일치"))</f>
        <v/>
      </c>
    </row>
    <row r="20" spans="1:12" ht="15" customHeight="1">
      <c r="A20" s="17" t="s">
        <v>630</v>
      </c>
      <c r="B20" s="17">
        <v>6</v>
      </c>
      <c r="C20" s="17" t="s">
        <v>89</v>
      </c>
      <c r="D20" s="17" t="s">
        <v>631</v>
      </c>
      <c r="E20" s="18" t="s">
        <v>632</v>
      </c>
      <c r="F20" s="18" t="s">
        <v>91</v>
      </c>
      <c r="G20" s="17" t="s">
        <v>87</v>
      </c>
      <c r="H20" s="19" t="s">
        <v>95</v>
      </c>
      <c r="I20" s="19"/>
      <c r="J20" s="20" t="str">
        <f t="shared" si="0"/>
        <v/>
      </c>
      <c r="K20" s="20" t="str">
        <f>IF(G20="","",IF(COUNTIF('01_rules'!$A$2:$A$39,G20)=0,"rule 없음",""))</f>
        <v/>
      </c>
      <c r="L20" s="20" t="str">
        <f>IF(G20="","",IF(ISNUMBER(SEARCH(G20,IFERROR(VLOOKUP(C20,'03_units'!$B$2:$F$21,5,FALSE()),""))),"","unit 불일치"))</f>
        <v/>
      </c>
    </row>
    <row r="21" spans="1:12" ht="15" customHeight="1">
      <c r="A21" s="17" t="s">
        <v>633</v>
      </c>
      <c r="B21" s="17">
        <v>6</v>
      </c>
      <c r="C21" s="17" t="s">
        <v>89</v>
      </c>
      <c r="D21" s="17" t="s">
        <v>634</v>
      </c>
      <c r="E21" s="18" t="s">
        <v>635</v>
      </c>
      <c r="F21" s="18" t="s">
        <v>91</v>
      </c>
      <c r="G21" s="17" t="s">
        <v>87</v>
      </c>
      <c r="H21" s="19" t="s">
        <v>95</v>
      </c>
      <c r="I21" s="19"/>
      <c r="J21" s="20" t="str">
        <f t="shared" si="0"/>
        <v/>
      </c>
      <c r="K21" s="20" t="str">
        <f>IF(G21="","",IF(COUNTIF('01_rules'!$A$2:$A$39,G21)=0,"rule 없음",""))</f>
        <v/>
      </c>
      <c r="L21" s="20" t="str">
        <f>IF(G21="","",IF(ISNUMBER(SEARCH(G21,IFERROR(VLOOKUP(C21,'03_units'!$B$2:$F$21,5,FALSE()),""))),"","unit 불일치"))</f>
        <v/>
      </c>
    </row>
    <row r="22" spans="1:12" ht="15" customHeight="1">
      <c r="A22" s="17" t="s">
        <v>636</v>
      </c>
      <c r="B22" s="17">
        <v>3</v>
      </c>
      <c r="C22" s="17" t="s">
        <v>104</v>
      </c>
      <c r="D22" s="17" t="s">
        <v>637</v>
      </c>
      <c r="E22" s="18" t="s">
        <v>638</v>
      </c>
      <c r="F22" s="18" t="s">
        <v>112</v>
      </c>
      <c r="G22" s="17" t="s">
        <v>109</v>
      </c>
      <c r="H22" s="19" t="s">
        <v>95</v>
      </c>
      <c r="I22" s="19"/>
      <c r="J22" s="20" t="str">
        <f t="shared" si="0"/>
        <v/>
      </c>
      <c r="K22" s="20" t="str">
        <f>IF(G22="","",IF(COUNTIF('01_rules'!$A$2:$A$39,G22)=0,"rule 없음",""))</f>
        <v/>
      </c>
      <c r="L22" s="20" t="str">
        <f>IF(G22="","",IF(ISNUMBER(SEARCH(G22,IFERROR(VLOOKUP(C22,'03_units'!$B$2:$F$21,5,FALSE()),""))),"","unit 불일치"))</f>
        <v/>
      </c>
    </row>
    <row r="23" spans="1:12" ht="15" customHeight="1">
      <c r="A23" s="17" t="s">
        <v>639</v>
      </c>
      <c r="B23" s="17">
        <v>3</v>
      </c>
      <c r="C23" s="17" t="s">
        <v>104</v>
      </c>
      <c r="D23" s="17" t="s">
        <v>640</v>
      </c>
      <c r="E23" s="18" t="s">
        <v>641</v>
      </c>
      <c r="F23" s="18" t="s">
        <v>112</v>
      </c>
      <c r="G23" s="17" t="s">
        <v>109</v>
      </c>
      <c r="H23" s="19" t="s">
        <v>95</v>
      </c>
      <c r="I23" s="19"/>
      <c r="J23" s="20" t="str">
        <f t="shared" si="0"/>
        <v/>
      </c>
      <c r="K23" s="20" t="str">
        <f>IF(G23="","",IF(COUNTIF('01_rules'!$A$2:$A$39,G23)=0,"rule 없음",""))</f>
        <v/>
      </c>
      <c r="L23" s="20" t="str">
        <f>IF(G23="","",IF(ISNUMBER(SEARCH(G23,IFERROR(VLOOKUP(C23,'03_units'!$B$2:$F$21,5,FALSE()),""))),"","unit 불일치"))</f>
        <v/>
      </c>
    </row>
    <row r="24" spans="1:12" ht="15" customHeight="1">
      <c r="A24" s="17" t="s">
        <v>642</v>
      </c>
      <c r="B24" s="17">
        <v>3</v>
      </c>
      <c r="C24" s="17" t="s">
        <v>104</v>
      </c>
      <c r="D24" s="17" t="s">
        <v>643</v>
      </c>
      <c r="E24" s="18" t="s">
        <v>644</v>
      </c>
      <c r="F24" s="18" t="s">
        <v>112</v>
      </c>
      <c r="G24" s="17" t="s">
        <v>109</v>
      </c>
      <c r="H24" s="19" t="s">
        <v>95</v>
      </c>
      <c r="I24" s="19"/>
      <c r="J24" s="20" t="str">
        <f t="shared" si="0"/>
        <v/>
      </c>
      <c r="K24" s="20" t="str">
        <f>IF(G24="","",IF(COUNTIF('01_rules'!$A$2:$A$39,G24)=0,"rule 없음",""))</f>
        <v/>
      </c>
      <c r="L24" s="20" t="str">
        <f>IF(G24="","",IF(ISNUMBER(SEARCH(G24,IFERROR(VLOOKUP(C24,'03_units'!$B$2:$F$21,5,FALSE()),""))),"","unit 불일치"))</f>
        <v/>
      </c>
    </row>
    <row r="25" spans="1:12" ht="15" customHeight="1">
      <c r="A25" s="17" t="s">
        <v>645</v>
      </c>
      <c r="B25" s="17">
        <v>3</v>
      </c>
      <c r="C25" s="17" t="s">
        <v>104</v>
      </c>
      <c r="D25" s="17" t="s">
        <v>646</v>
      </c>
      <c r="E25" s="18" t="s">
        <v>647</v>
      </c>
      <c r="F25" s="18" t="s">
        <v>112</v>
      </c>
      <c r="G25" s="17" t="s">
        <v>109</v>
      </c>
      <c r="H25" s="19" t="s">
        <v>95</v>
      </c>
      <c r="I25" s="19"/>
      <c r="J25" s="20" t="str">
        <f t="shared" si="0"/>
        <v/>
      </c>
      <c r="K25" s="20" t="str">
        <f>IF(G25="","",IF(COUNTIF('01_rules'!$A$2:$A$39,G25)=0,"rule 없음",""))</f>
        <v/>
      </c>
      <c r="L25" s="20" t="str">
        <f>IF(G25="","",IF(ISNUMBER(SEARCH(G25,IFERROR(VLOOKUP(C25,'03_units'!$B$2:$F$21,5,FALSE()),""))),"","unit 불일치"))</f>
        <v/>
      </c>
    </row>
    <row r="26" spans="1:12" ht="15" customHeight="1">
      <c r="A26" s="17" t="s">
        <v>648</v>
      </c>
      <c r="B26" s="17">
        <v>3</v>
      </c>
      <c r="C26" s="17" t="s">
        <v>104</v>
      </c>
      <c r="D26" s="17" t="s">
        <v>649</v>
      </c>
      <c r="E26" s="18" t="s">
        <v>650</v>
      </c>
      <c r="F26" s="18" t="s">
        <v>112</v>
      </c>
      <c r="G26" s="17" t="s">
        <v>109</v>
      </c>
      <c r="H26" s="19" t="s">
        <v>95</v>
      </c>
      <c r="I26" s="19"/>
      <c r="J26" s="20" t="str">
        <f t="shared" si="0"/>
        <v/>
      </c>
      <c r="K26" s="20" t="str">
        <f>IF(G26="","",IF(COUNTIF('01_rules'!$A$2:$A$39,G26)=0,"rule 없음",""))</f>
        <v/>
      </c>
      <c r="L26" s="20" t="str">
        <f>IF(G26="","",IF(ISNUMBER(SEARCH(G26,IFERROR(VLOOKUP(C26,'03_units'!$B$2:$F$21,5,FALSE()),""))),"","unit 불일치"))</f>
        <v/>
      </c>
    </row>
    <row r="27" spans="1:12" ht="15" customHeight="1">
      <c r="A27" s="17" t="s">
        <v>651</v>
      </c>
      <c r="B27" s="17">
        <v>4</v>
      </c>
      <c r="C27" s="17" t="s">
        <v>104</v>
      </c>
      <c r="D27" s="17" t="s">
        <v>652</v>
      </c>
      <c r="E27" s="18" t="s">
        <v>653</v>
      </c>
      <c r="F27" s="18" t="s">
        <v>106</v>
      </c>
      <c r="G27" s="17" t="s">
        <v>102</v>
      </c>
      <c r="H27" s="19" t="s">
        <v>95</v>
      </c>
      <c r="I27" s="19"/>
      <c r="J27" s="20" t="str">
        <f t="shared" si="0"/>
        <v/>
      </c>
      <c r="K27" s="20" t="str">
        <f>IF(G27="","",IF(COUNTIF('01_rules'!$A$2:$A$39,G27)=0,"rule 없음",""))</f>
        <v/>
      </c>
      <c r="L27" s="20" t="str">
        <f>IF(G27="","",IF(ISNUMBER(SEARCH(G27,IFERROR(VLOOKUP(C27,'03_units'!$B$2:$F$21,5,FALSE()),""))),"","unit 불일치"))</f>
        <v/>
      </c>
    </row>
    <row r="28" spans="1:12" ht="15" customHeight="1">
      <c r="A28" s="17" t="s">
        <v>654</v>
      </c>
      <c r="B28" s="17">
        <v>4</v>
      </c>
      <c r="C28" s="17" t="s">
        <v>104</v>
      </c>
      <c r="D28" s="17" t="s">
        <v>655</v>
      </c>
      <c r="E28" s="18" t="s">
        <v>656</v>
      </c>
      <c r="F28" s="18" t="s">
        <v>106</v>
      </c>
      <c r="G28" s="17" t="s">
        <v>102</v>
      </c>
      <c r="H28" s="19" t="s">
        <v>95</v>
      </c>
      <c r="I28" s="19"/>
      <c r="J28" s="20" t="str">
        <f t="shared" si="0"/>
        <v/>
      </c>
      <c r="K28" s="20" t="str">
        <f>IF(G28="","",IF(COUNTIF('01_rules'!$A$2:$A$39,G28)=0,"rule 없음",""))</f>
        <v/>
      </c>
      <c r="L28" s="20" t="str">
        <f>IF(G28="","",IF(ISNUMBER(SEARCH(G28,IFERROR(VLOOKUP(C28,'03_units'!$B$2:$F$21,5,FALSE()),""))),"","unit 불일치"))</f>
        <v/>
      </c>
    </row>
    <row r="29" spans="1:12" ht="15" customHeight="1">
      <c r="A29" s="17" t="s">
        <v>657</v>
      </c>
      <c r="B29" s="17">
        <v>4</v>
      </c>
      <c r="C29" s="17" t="s">
        <v>104</v>
      </c>
      <c r="D29" s="17" t="s">
        <v>658</v>
      </c>
      <c r="E29" s="18" t="s">
        <v>659</v>
      </c>
      <c r="F29" s="18" t="s">
        <v>106</v>
      </c>
      <c r="G29" s="17" t="s">
        <v>102</v>
      </c>
      <c r="H29" s="19" t="s">
        <v>95</v>
      </c>
      <c r="I29" s="19"/>
      <c r="J29" s="20" t="str">
        <f t="shared" si="0"/>
        <v/>
      </c>
      <c r="K29" s="20" t="str">
        <f>IF(G29="","",IF(COUNTIF('01_rules'!$A$2:$A$39,G29)=0,"rule 없음",""))</f>
        <v/>
      </c>
      <c r="L29" s="20" t="str">
        <f>IF(G29="","",IF(ISNUMBER(SEARCH(G29,IFERROR(VLOOKUP(C29,'03_units'!$B$2:$F$21,5,FALSE()),""))),"","unit 불일치"))</f>
        <v/>
      </c>
    </row>
    <row r="30" spans="1:12" ht="15" customHeight="1">
      <c r="A30" s="17" t="s">
        <v>660</v>
      </c>
      <c r="B30" s="17">
        <v>4</v>
      </c>
      <c r="C30" s="17" t="s">
        <v>104</v>
      </c>
      <c r="D30" s="17" t="s">
        <v>661</v>
      </c>
      <c r="E30" s="18" t="s">
        <v>662</v>
      </c>
      <c r="F30" s="18" t="s">
        <v>106</v>
      </c>
      <c r="G30" s="17" t="s">
        <v>102</v>
      </c>
      <c r="H30" s="19" t="s">
        <v>95</v>
      </c>
      <c r="I30" s="19"/>
      <c r="J30" s="20" t="str">
        <f t="shared" si="0"/>
        <v/>
      </c>
      <c r="K30" s="20" t="str">
        <f>IF(G30="","",IF(COUNTIF('01_rules'!$A$2:$A$39,G30)=0,"rule 없음",""))</f>
        <v/>
      </c>
      <c r="L30" s="20" t="str">
        <f>IF(G30="","",IF(ISNUMBER(SEARCH(G30,IFERROR(VLOOKUP(C30,'03_units'!$B$2:$F$21,5,FALSE()),""))),"","unit 불일치"))</f>
        <v/>
      </c>
    </row>
    <row r="31" spans="1:12" ht="15" customHeight="1">
      <c r="A31" s="17" t="s">
        <v>663</v>
      </c>
      <c r="B31" s="17">
        <v>4</v>
      </c>
      <c r="C31" s="17" t="s">
        <v>104</v>
      </c>
      <c r="D31" s="17" t="s">
        <v>664</v>
      </c>
      <c r="E31" s="18" t="s">
        <v>665</v>
      </c>
      <c r="F31" s="18" t="s">
        <v>106</v>
      </c>
      <c r="G31" s="17" t="s">
        <v>102</v>
      </c>
      <c r="H31" s="19" t="s">
        <v>95</v>
      </c>
      <c r="I31" s="19"/>
      <c r="J31" s="20" t="str">
        <f t="shared" si="0"/>
        <v/>
      </c>
      <c r="K31" s="20" t="str">
        <f>IF(G31="","",IF(COUNTIF('01_rules'!$A$2:$A$39,G31)=0,"rule 없음",""))</f>
        <v/>
      </c>
      <c r="L31" s="20" t="str">
        <f>IF(G31="","",IF(ISNUMBER(SEARCH(G31,IFERROR(VLOOKUP(C31,'03_units'!$B$2:$F$21,5,FALSE()),""))),"","unit 불일치"))</f>
        <v/>
      </c>
    </row>
    <row r="32" spans="1:12" ht="15" customHeight="1">
      <c r="A32" s="17" t="s">
        <v>666</v>
      </c>
      <c r="B32" s="17">
        <v>5</v>
      </c>
      <c r="C32" s="17" t="s">
        <v>104</v>
      </c>
      <c r="D32" s="17" t="s">
        <v>667</v>
      </c>
      <c r="E32" s="18" t="s">
        <v>668</v>
      </c>
      <c r="F32" s="18" t="s">
        <v>112</v>
      </c>
      <c r="G32" s="17" t="s">
        <v>109</v>
      </c>
      <c r="H32" s="19" t="s">
        <v>95</v>
      </c>
      <c r="I32" s="19"/>
      <c r="J32" s="20" t="str">
        <f t="shared" si="0"/>
        <v/>
      </c>
      <c r="K32" s="20" t="str">
        <f>IF(G32="","",IF(COUNTIF('01_rules'!$A$2:$A$39,G32)=0,"rule 없음",""))</f>
        <v/>
      </c>
      <c r="L32" s="20" t="str">
        <f>IF(G32="","",IF(ISNUMBER(SEARCH(G32,IFERROR(VLOOKUP(C32,'03_units'!$B$2:$F$21,5,FALSE()),""))),"","unit 불일치"))</f>
        <v/>
      </c>
    </row>
    <row r="33" spans="1:12" ht="15" customHeight="1">
      <c r="A33" s="17" t="s">
        <v>669</v>
      </c>
      <c r="B33" s="17">
        <v>5</v>
      </c>
      <c r="C33" s="17" t="s">
        <v>104</v>
      </c>
      <c r="D33" s="17" t="s">
        <v>670</v>
      </c>
      <c r="E33" s="18" t="s">
        <v>671</v>
      </c>
      <c r="F33" s="18" t="s">
        <v>336</v>
      </c>
      <c r="G33" s="17" t="s">
        <v>334</v>
      </c>
      <c r="H33" s="19" t="s">
        <v>95</v>
      </c>
      <c r="I33" s="19"/>
      <c r="J33" s="20" t="str">
        <f t="shared" si="0"/>
        <v/>
      </c>
      <c r="K33" s="20" t="str">
        <f>IF(G33="","",IF(COUNTIF('01_rules'!$A$2:$A$39,G33)=0,"rule 없음",""))</f>
        <v/>
      </c>
      <c r="L33" s="20" t="str">
        <f>IF(G33="","",IF(ISNUMBER(SEARCH(G33,IFERROR(VLOOKUP(C33,'03_units'!$B$2:$F$21,5,FALSE()),""))),"","unit 불일치"))</f>
        <v/>
      </c>
    </row>
    <row r="34" spans="1:12" ht="15" customHeight="1">
      <c r="A34" s="17" t="s">
        <v>672</v>
      </c>
      <c r="B34" s="17">
        <v>5</v>
      </c>
      <c r="C34" s="17" t="s">
        <v>104</v>
      </c>
      <c r="D34" s="17" t="s">
        <v>673</v>
      </c>
      <c r="E34" s="18" t="s">
        <v>674</v>
      </c>
      <c r="F34" s="18" t="s">
        <v>336</v>
      </c>
      <c r="G34" s="17" t="s">
        <v>334</v>
      </c>
      <c r="H34" s="19" t="s">
        <v>95</v>
      </c>
      <c r="I34" s="19"/>
      <c r="J34" s="20" t="str">
        <f t="shared" si="0"/>
        <v/>
      </c>
      <c r="K34" s="20" t="str">
        <f>IF(G34="","",IF(COUNTIF('01_rules'!$A$2:$A$39,G34)=0,"rule 없음",""))</f>
        <v/>
      </c>
      <c r="L34" s="20" t="str">
        <f>IF(G34="","",IF(ISNUMBER(SEARCH(G34,IFERROR(VLOOKUP(C34,'03_units'!$B$2:$F$21,5,FALSE()),""))),"","unit 불일치"))</f>
        <v/>
      </c>
    </row>
    <row r="35" spans="1:12" ht="15" customHeight="1">
      <c r="A35" s="17" t="s">
        <v>675</v>
      </c>
      <c r="B35" s="17">
        <v>5</v>
      </c>
      <c r="C35" s="17" t="s">
        <v>104</v>
      </c>
      <c r="D35" s="17" t="s">
        <v>676</v>
      </c>
      <c r="E35" s="18" t="s">
        <v>677</v>
      </c>
      <c r="F35" s="18" t="s">
        <v>336</v>
      </c>
      <c r="G35" s="17" t="s">
        <v>334</v>
      </c>
      <c r="H35" s="19" t="s">
        <v>95</v>
      </c>
      <c r="I35" s="19"/>
      <c r="J35" s="20" t="str">
        <f t="shared" si="0"/>
        <v/>
      </c>
      <c r="K35" s="20" t="str">
        <f>IF(G35="","",IF(COUNTIF('01_rules'!$A$2:$A$39,G35)=0,"rule 없음",""))</f>
        <v/>
      </c>
      <c r="L35" s="20" t="str">
        <f>IF(G35="","",IF(ISNUMBER(SEARCH(G35,IFERROR(VLOOKUP(C35,'03_units'!$B$2:$F$21,5,FALSE()),""))),"","unit 불일치"))</f>
        <v/>
      </c>
    </row>
    <row r="36" spans="1:12" ht="15" customHeight="1">
      <c r="A36" s="17" t="s">
        <v>678</v>
      </c>
      <c r="B36" s="17">
        <v>5</v>
      </c>
      <c r="C36" s="17" t="s">
        <v>104</v>
      </c>
      <c r="D36" s="17" t="s">
        <v>679</v>
      </c>
      <c r="E36" s="18" t="s">
        <v>680</v>
      </c>
      <c r="F36" s="18" t="s">
        <v>336</v>
      </c>
      <c r="G36" s="17" t="s">
        <v>334</v>
      </c>
      <c r="H36" s="19" t="s">
        <v>95</v>
      </c>
      <c r="I36" s="19"/>
      <c r="J36" s="20" t="str">
        <f t="shared" si="0"/>
        <v/>
      </c>
      <c r="K36" s="20" t="str">
        <f>IF(G36="","",IF(COUNTIF('01_rules'!$A$2:$A$39,G36)=0,"rule 없음",""))</f>
        <v/>
      </c>
      <c r="L36" s="20" t="str">
        <f>IF(G36="","",IF(ISNUMBER(SEARCH(G36,IFERROR(VLOOKUP(C36,'03_units'!$B$2:$F$21,5,FALSE()),""))),"","unit 불일치"))</f>
        <v/>
      </c>
    </row>
    <row r="37" spans="1:12" ht="15" customHeight="1">
      <c r="A37" s="17" t="s">
        <v>681</v>
      </c>
      <c r="B37" s="17">
        <v>6</v>
      </c>
      <c r="C37" s="17" t="s">
        <v>104</v>
      </c>
      <c r="D37" s="17" t="s">
        <v>682</v>
      </c>
      <c r="E37" s="18" t="s">
        <v>683</v>
      </c>
      <c r="F37" s="18" t="s">
        <v>336</v>
      </c>
      <c r="G37" s="17" t="s">
        <v>334</v>
      </c>
      <c r="H37" s="19" t="s">
        <v>95</v>
      </c>
      <c r="I37" s="19"/>
      <c r="J37" s="20" t="str">
        <f t="shared" si="0"/>
        <v/>
      </c>
      <c r="K37" s="20" t="str">
        <f>IF(G37="","",IF(COUNTIF('01_rules'!$A$2:$A$39,G37)=0,"rule 없음",""))</f>
        <v/>
      </c>
      <c r="L37" s="20" t="str">
        <f>IF(G37="","",IF(ISNUMBER(SEARCH(G37,IFERROR(VLOOKUP(C37,'03_units'!$B$2:$F$21,5,FALSE()),""))),"","unit 불일치"))</f>
        <v/>
      </c>
    </row>
    <row r="38" spans="1:12" ht="15" customHeight="1">
      <c r="A38" s="17" t="s">
        <v>684</v>
      </c>
      <c r="B38" s="17">
        <v>6</v>
      </c>
      <c r="C38" s="17" t="s">
        <v>104</v>
      </c>
      <c r="D38" s="17" t="s">
        <v>685</v>
      </c>
      <c r="E38" s="18" t="s">
        <v>686</v>
      </c>
      <c r="F38" s="18" t="s">
        <v>336</v>
      </c>
      <c r="G38" s="17" t="s">
        <v>334</v>
      </c>
      <c r="H38" s="19" t="s">
        <v>95</v>
      </c>
      <c r="I38" s="19"/>
      <c r="J38" s="20" t="str">
        <f t="shared" si="0"/>
        <v/>
      </c>
      <c r="K38" s="20" t="str">
        <f>IF(G38="","",IF(COUNTIF('01_rules'!$A$2:$A$39,G38)=0,"rule 없음",""))</f>
        <v/>
      </c>
      <c r="L38" s="20" t="str">
        <f>IF(G38="","",IF(ISNUMBER(SEARCH(G38,IFERROR(VLOOKUP(C38,'03_units'!$B$2:$F$21,5,FALSE()),""))),"","unit 불일치"))</f>
        <v/>
      </c>
    </row>
    <row r="39" spans="1:12" ht="15" customHeight="1">
      <c r="A39" s="17" t="s">
        <v>687</v>
      </c>
      <c r="B39" s="17">
        <v>6</v>
      </c>
      <c r="C39" s="17" t="s">
        <v>104</v>
      </c>
      <c r="D39" s="17" t="s">
        <v>688</v>
      </c>
      <c r="E39" s="18" t="s">
        <v>689</v>
      </c>
      <c r="F39" s="18" t="s">
        <v>336</v>
      </c>
      <c r="G39" s="17" t="s">
        <v>334</v>
      </c>
      <c r="H39" s="19" t="s">
        <v>95</v>
      </c>
      <c r="I39" s="19"/>
      <c r="J39" s="20" t="str">
        <f t="shared" si="0"/>
        <v/>
      </c>
      <c r="K39" s="20" t="str">
        <f>IF(G39="","",IF(COUNTIF('01_rules'!$A$2:$A$39,G39)=0,"rule 없음",""))</f>
        <v/>
      </c>
      <c r="L39" s="20" t="str">
        <f>IF(G39="","",IF(ISNUMBER(SEARCH(G39,IFERROR(VLOOKUP(C39,'03_units'!$B$2:$F$21,5,FALSE()),""))),"","unit 불일치"))</f>
        <v/>
      </c>
    </row>
    <row r="40" spans="1:12" ht="15" customHeight="1">
      <c r="A40" s="17" t="s">
        <v>690</v>
      </c>
      <c r="B40" s="17">
        <v>6</v>
      </c>
      <c r="C40" s="17" t="s">
        <v>104</v>
      </c>
      <c r="D40" s="17" t="s">
        <v>691</v>
      </c>
      <c r="E40" s="18" t="s">
        <v>692</v>
      </c>
      <c r="F40" s="18" t="s">
        <v>336</v>
      </c>
      <c r="G40" s="17" t="s">
        <v>334</v>
      </c>
      <c r="H40" s="19" t="s">
        <v>95</v>
      </c>
      <c r="I40" s="19"/>
      <c r="J40" s="20" t="str">
        <f t="shared" si="0"/>
        <v/>
      </c>
      <c r="K40" s="20" t="str">
        <f>IF(G40="","",IF(COUNTIF('01_rules'!$A$2:$A$39,G40)=0,"rule 없음",""))</f>
        <v/>
      </c>
      <c r="L40" s="20" t="str">
        <f>IF(G40="","",IF(ISNUMBER(SEARCH(G40,IFERROR(VLOOKUP(C40,'03_units'!$B$2:$F$21,5,FALSE()),""))),"","unit 불일치"))</f>
        <v/>
      </c>
    </row>
    <row r="41" spans="1:12" ht="15" customHeight="1">
      <c r="A41" s="17" t="s">
        <v>693</v>
      </c>
      <c r="B41" s="17">
        <v>6</v>
      </c>
      <c r="C41" s="17" t="s">
        <v>104</v>
      </c>
      <c r="D41" s="17" t="s">
        <v>694</v>
      </c>
      <c r="E41" s="18" t="s">
        <v>695</v>
      </c>
      <c r="F41" s="18" t="s">
        <v>313</v>
      </c>
      <c r="G41" s="17" t="s">
        <v>310</v>
      </c>
      <c r="H41" s="19" t="s">
        <v>95</v>
      </c>
      <c r="I41" s="19"/>
      <c r="J41" s="20" t="str">
        <f t="shared" si="0"/>
        <v/>
      </c>
      <c r="K41" s="20" t="str">
        <f>IF(G41="","",IF(COUNTIF('01_rules'!$A$2:$A$39,G41)=0,"rule 없음",""))</f>
        <v/>
      </c>
      <c r="L41" s="20" t="str">
        <f>IF(G41="","",IF(ISNUMBER(SEARCH(G41,IFERROR(VLOOKUP(C41,'03_units'!$B$2:$F$21,5,FALSE()),""))),"","unit 불일치"))</f>
        <v/>
      </c>
    </row>
    <row r="42" spans="1:12" ht="15" customHeight="1">
      <c r="A42" s="17" t="s">
        <v>696</v>
      </c>
      <c r="B42" s="17">
        <v>3</v>
      </c>
      <c r="C42" s="17" t="s">
        <v>117</v>
      </c>
      <c r="D42" s="17" t="s">
        <v>697</v>
      </c>
      <c r="E42" s="18" t="s">
        <v>698</v>
      </c>
      <c r="F42" s="18" t="s">
        <v>119</v>
      </c>
      <c r="G42" s="17" t="s">
        <v>115</v>
      </c>
      <c r="H42" s="19" t="s">
        <v>95</v>
      </c>
      <c r="I42" s="19"/>
      <c r="J42" s="20" t="str">
        <f t="shared" si="0"/>
        <v/>
      </c>
      <c r="K42" s="20" t="str">
        <f>IF(G42="","",IF(COUNTIF('01_rules'!$A$2:$A$39,G42)=0,"rule 없음",""))</f>
        <v/>
      </c>
      <c r="L42" s="20" t="str">
        <f>IF(G42="","",IF(ISNUMBER(SEARCH(G42,IFERROR(VLOOKUP(C42,'03_units'!$B$2:$F$21,5,FALSE()),""))),"","unit 불일치"))</f>
        <v/>
      </c>
    </row>
    <row r="43" spans="1:12" ht="15" customHeight="1">
      <c r="A43" s="17" t="s">
        <v>699</v>
      </c>
      <c r="B43" s="17">
        <v>3</v>
      </c>
      <c r="C43" s="17" t="s">
        <v>117</v>
      </c>
      <c r="D43" s="17" t="s">
        <v>700</v>
      </c>
      <c r="E43" s="18" t="s">
        <v>701</v>
      </c>
      <c r="F43" s="18" t="s">
        <v>119</v>
      </c>
      <c r="G43" s="17" t="s">
        <v>115</v>
      </c>
      <c r="H43" s="19" t="s">
        <v>95</v>
      </c>
      <c r="I43" s="19"/>
      <c r="J43" s="20" t="str">
        <f t="shared" si="0"/>
        <v/>
      </c>
      <c r="K43" s="20" t="str">
        <f>IF(G43="","",IF(COUNTIF('01_rules'!$A$2:$A$39,G43)=0,"rule 없음",""))</f>
        <v/>
      </c>
      <c r="L43" s="20" t="str">
        <f>IF(G43="","",IF(ISNUMBER(SEARCH(G43,IFERROR(VLOOKUP(C43,'03_units'!$B$2:$F$21,5,FALSE()),""))),"","unit 불일치"))</f>
        <v/>
      </c>
    </row>
    <row r="44" spans="1:12" ht="15" customHeight="1">
      <c r="A44" s="17" t="s">
        <v>702</v>
      </c>
      <c r="B44" s="17">
        <v>3</v>
      </c>
      <c r="C44" s="17" t="s">
        <v>117</v>
      </c>
      <c r="D44" s="17" t="s">
        <v>703</v>
      </c>
      <c r="E44" s="18" t="s">
        <v>704</v>
      </c>
      <c r="F44" s="18" t="s">
        <v>119</v>
      </c>
      <c r="G44" s="17" t="s">
        <v>115</v>
      </c>
      <c r="H44" s="19" t="s">
        <v>95</v>
      </c>
      <c r="I44" s="19"/>
      <c r="J44" s="20" t="str">
        <f t="shared" si="0"/>
        <v/>
      </c>
      <c r="K44" s="20" t="str">
        <f>IF(G44="","",IF(COUNTIF('01_rules'!$A$2:$A$39,G44)=0,"rule 없음",""))</f>
        <v/>
      </c>
      <c r="L44" s="20" t="str">
        <f>IF(G44="","",IF(ISNUMBER(SEARCH(G44,IFERROR(VLOOKUP(C44,'03_units'!$B$2:$F$21,5,FALSE()),""))),"","unit 불일치"))</f>
        <v/>
      </c>
    </row>
    <row r="45" spans="1:12" ht="15" customHeight="1">
      <c r="A45" s="17" t="s">
        <v>705</v>
      </c>
      <c r="B45" s="17">
        <v>3</v>
      </c>
      <c r="C45" s="17" t="s">
        <v>117</v>
      </c>
      <c r="D45" s="17" t="s">
        <v>706</v>
      </c>
      <c r="E45" s="18" t="s">
        <v>707</v>
      </c>
      <c r="F45" s="18" t="s">
        <v>119</v>
      </c>
      <c r="G45" s="17" t="s">
        <v>115</v>
      </c>
      <c r="H45" s="19" t="s">
        <v>95</v>
      </c>
      <c r="I45" s="19"/>
      <c r="J45" s="20" t="str">
        <f t="shared" si="0"/>
        <v/>
      </c>
      <c r="K45" s="20" t="str">
        <f>IF(G45="","",IF(COUNTIF('01_rules'!$A$2:$A$39,G45)=0,"rule 없음",""))</f>
        <v/>
      </c>
      <c r="L45" s="20" t="str">
        <f>IF(G45="","",IF(ISNUMBER(SEARCH(G45,IFERROR(VLOOKUP(C45,'03_units'!$B$2:$F$21,5,FALSE()),""))),"","unit 불일치"))</f>
        <v/>
      </c>
    </row>
    <row r="46" spans="1:12" ht="15" customHeight="1">
      <c r="A46" s="17" t="s">
        <v>708</v>
      </c>
      <c r="B46" s="17">
        <v>3</v>
      </c>
      <c r="C46" s="17" t="s">
        <v>117</v>
      </c>
      <c r="D46" s="17" t="s">
        <v>709</v>
      </c>
      <c r="E46" s="18" t="s">
        <v>710</v>
      </c>
      <c r="F46" s="18" t="s">
        <v>336</v>
      </c>
      <c r="G46" s="17" t="s">
        <v>334</v>
      </c>
      <c r="H46" s="19" t="s">
        <v>95</v>
      </c>
      <c r="I46" s="19"/>
      <c r="J46" s="20" t="str">
        <f t="shared" si="0"/>
        <v/>
      </c>
      <c r="K46" s="20" t="str">
        <f>IF(G46="","",IF(COUNTIF('01_rules'!$A$2:$A$39,G46)=0,"rule 없음",""))</f>
        <v/>
      </c>
      <c r="L46" s="20" t="str">
        <f>IF(G46="","",IF(ISNUMBER(SEARCH(G46,IFERROR(VLOOKUP(C46,'03_units'!$B$2:$F$21,5,FALSE()),""))),"","unit 불일치"))</f>
        <v/>
      </c>
    </row>
    <row r="47" spans="1:12" ht="15" customHeight="1">
      <c r="A47" s="17" t="s">
        <v>711</v>
      </c>
      <c r="B47" s="17">
        <v>4</v>
      </c>
      <c r="C47" s="17" t="s">
        <v>117</v>
      </c>
      <c r="D47" s="17" t="s">
        <v>712</v>
      </c>
      <c r="E47" s="18" t="s">
        <v>713</v>
      </c>
      <c r="F47" s="18" t="s">
        <v>336</v>
      </c>
      <c r="G47" s="17" t="s">
        <v>334</v>
      </c>
      <c r="H47" s="19" t="s">
        <v>95</v>
      </c>
      <c r="I47" s="19"/>
      <c r="J47" s="20" t="str">
        <f t="shared" si="0"/>
        <v/>
      </c>
      <c r="K47" s="20" t="str">
        <f>IF(G47="","",IF(COUNTIF('01_rules'!$A$2:$A$39,G47)=0,"rule 없음",""))</f>
        <v/>
      </c>
      <c r="L47" s="20" t="str">
        <f>IF(G47="","",IF(ISNUMBER(SEARCH(G47,IFERROR(VLOOKUP(C47,'03_units'!$B$2:$F$21,5,FALSE()),""))),"","unit 불일치"))</f>
        <v/>
      </c>
    </row>
    <row r="48" spans="1:12" ht="15" customHeight="1">
      <c r="A48" s="17" t="s">
        <v>714</v>
      </c>
      <c r="B48" s="17">
        <v>4</v>
      </c>
      <c r="C48" s="17" t="s">
        <v>117</v>
      </c>
      <c r="D48" s="17" t="s">
        <v>715</v>
      </c>
      <c r="E48" s="18" t="s">
        <v>716</v>
      </c>
      <c r="F48" s="18" t="s">
        <v>336</v>
      </c>
      <c r="G48" s="17" t="s">
        <v>334</v>
      </c>
      <c r="H48" s="19" t="s">
        <v>95</v>
      </c>
      <c r="I48" s="19"/>
      <c r="J48" s="20" t="str">
        <f t="shared" si="0"/>
        <v/>
      </c>
      <c r="K48" s="20" t="str">
        <f>IF(G48="","",IF(COUNTIF('01_rules'!$A$2:$A$39,G48)=0,"rule 없음",""))</f>
        <v/>
      </c>
      <c r="L48" s="20" t="str">
        <f>IF(G48="","",IF(ISNUMBER(SEARCH(G48,IFERROR(VLOOKUP(C48,'03_units'!$B$2:$F$21,5,FALSE()),""))),"","unit 불일치"))</f>
        <v/>
      </c>
    </row>
    <row r="49" spans="1:12" ht="15" customHeight="1">
      <c r="A49" s="17" t="s">
        <v>717</v>
      </c>
      <c r="B49" s="17">
        <v>4</v>
      </c>
      <c r="C49" s="17" t="s">
        <v>117</v>
      </c>
      <c r="D49" s="17" t="s">
        <v>718</v>
      </c>
      <c r="E49" s="18" t="s">
        <v>719</v>
      </c>
      <c r="F49" s="18" t="s">
        <v>119</v>
      </c>
      <c r="G49" s="17" t="s">
        <v>115</v>
      </c>
      <c r="H49" s="19" t="s">
        <v>95</v>
      </c>
      <c r="I49" s="19"/>
      <c r="J49" s="20" t="str">
        <f t="shared" si="0"/>
        <v/>
      </c>
      <c r="K49" s="20" t="str">
        <f>IF(G49="","",IF(COUNTIF('01_rules'!$A$2:$A$39,G49)=0,"rule 없음",""))</f>
        <v/>
      </c>
      <c r="L49" s="20" t="str">
        <f>IF(G49="","",IF(ISNUMBER(SEARCH(G49,IFERROR(VLOOKUP(C49,'03_units'!$B$2:$F$21,5,FALSE()),""))),"","unit 불일치"))</f>
        <v/>
      </c>
    </row>
    <row r="50" spans="1:12" ht="15" customHeight="1">
      <c r="A50" s="17" t="s">
        <v>720</v>
      </c>
      <c r="B50" s="17">
        <v>4</v>
      </c>
      <c r="C50" s="17" t="s">
        <v>117</v>
      </c>
      <c r="D50" s="17" t="s">
        <v>721</v>
      </c>
      <c r="E50" s="18" t="s">
        <v>722</v>
      </c>
      <c r="F50" s="18" t="s">
        <v>119</v>
      </c>
      <c r="G50" s="17" t="s">
        <v>115</v>
      </c>
      <c r="H50" s="19" t="s">
        <v>95</v>
      </c>
      <c r="I50" s="19"/>
      <c r="J50" s="20" t="str">
        <f t="shared" si="0"/>
        <v/>
      </c>
      <c r="K50" s="20" t="str">
        <f>IF(G50="","",IF(COUNTIF('01_rules'!$A$2:$A$39,G50)=0,"rule 없음",""))</f>
        <v/>
      </c>
      <c r="L50" s="20" t="str">
        <f>IF(G50="","",IF(ISNUMBER(SEARCH(G50,IFERROR(VLOOKUP(C50,'03_units'!$B$2:$F$21,5,FALSE()),""))),"","unit 불일치"))</f>
        <v/>
      </c>
    </row>
    <row r="51" spans="1:12" ht="15" customHeight="1">
      <c r="A51" s="17" t="s">
        <v>723</v>
      </c>
      <c r="B51" s="17">
        <v>4</v>
      </c>
      <c r="C51" s="17" t="s">
        <v>117</v>
      </c>
      <c r="D51" s="17" t="s">
        <v>724</v>
      </c>
      <c r="E51" s="18" t="s">
        <v>725</v>
      </c>
      <c r="F51" s="18" t="s">
        <v>119</v>
      </c>
      <c r="G51" s="17" t="s">
        <v>115</v>
      </c>
      <c r="H51" s="19" t="s">
        <v>95</v>
      </c>
      <c r="I51" s="19"/>
      <c r="J51" s="20" t="str">
        <f t="shared" si="0"/>
        <v/>
      </c>
      <c r="K51" s="20" t="str">
        <f>IF(G51="","",IF(COUNTIF('01_rules'!$A$2:$A$39,G51)=0,"rule 없음",""))</f>
        <v/>
      </c>
      <c r="L51" s="20" t="str">
        <f>IF(G51="","",IF(ISNUMBER(SEARCH(G51,IFERROR(VLOOKUP(C51,'03_units'!$B$2:$F$21,5,FALSE()),""))),"","unit 불일치"))</f>
        <v/>
      </c>
    </row>
    <row r="52" spans="1:12" ht="15" customHeight="1">
      <c r="A52" s="17" t="s">
        <v>726</v>
      </c>
      <c r="B52" s="17">
        <v>5</v>
      </c>
      <c r="C52" s="17" t="s">
        <v>117</v>
      </c>
      <c r="D52" s="17" t="s">
        <v>727</v>
      </c>
      <c r="E52" s="18" t="s">
        <v>728</v>
      </c>
      <c r="F52" s="18" t="s">
        <v>125</v>
      </c>
      <c r="G52" s="17" t="s">
        <v>122</v>
      </c>
      <c r="H52" s="19" t="s">
        <v>95</v>
      </c>
      <c r="I52" s="19"/>
      <c r="J52" s="20" t="str">
        <f t="shared" si="0"/>
        <v/>
      </c>
      <c r="K52" s="20" t="str">
        <f>IF(G52="","",IF(COUNTIF('01_rules'!$A$2:$A$39,G52)=0,"rule 없음",""))</f>
        <v/>
      </c>
      <c r="L52" s="20" t="str">
        <f>IF(G52="","",IF(ISNUMBER(SEARCH(G52,IFERROR(VLOOKUP(C52,'03_units'!$B$2:$F$21,5,FALSE()),""))),"","unit 불일치"))</f>
        <v/>
      </c>
    </row>
    <row r="53" spans="1:12" ht="15" customHeight="1">
      <c r="A53" s="17" t="s">
        <v>729</v>
      </c>
      <c r="B53" s="17">
        <v>5</v>
      </c>
      <c r="C53" s="17" t="s">
        <v>117</v>
      </c>
      <c r="D53" s="17" t="s">
        <v>730</v>
      </c>
      <c r="E53" s="18" t="s">
        <v>731</v>
      </c>
      <c r="F53" s="18" t="s">
        <v>125</v>
      </c>
      <c r="G53" s="17" t="s">
        <v>122</v>
      </c>
      <c r="H53" s="19" t="s">
        <v>95</v>
      </c>
      <c r="I53" s="19"/>
      <c r="J53" s="20" t="str">
        <f t="shared" si="0"/>
        <v/>
      </c>
      <c r="K53" s="20" t="str">
        <f>IF(G53="","",IF(COUNTIF('01_rules'!$A$2:$A$39,G53)=0,"rule 없음",""))</f>
        <v/>
      </c>
      <c r="L53" s="20" t="str">
        <f>IF(G53="","",IF(ISNUMBER(SEARCH(G53,IFERROR(VLOOKUP(C53,'03_units'!$B$2:$F$21,5,FALSE()),""))),"","unit 불일치"))</f>
        <v/>
      </c>
    </row>
    <row r="54" spans="1:12" ht="15" customHeight="1">
      <c r="A54" s="17" t="s">
        <v>732</v>
      </c>
      <c r="B54" s="17">
        <v>5</v>
      </c>
      <c r="C54" s="17" t="s">
        <v>117</v>
      </c>
      <c r="D54" s="17" t="s">
        <v>733</v>
      </c>
      <c r="E54" s="18" t="s">
        <v>734</v>
      </c>
      <c r="F54" s="18" t="s">
        <v>336</v>
      </c>
      <c r="G54" s="17" t="s">
        <v>334</v>
      </c>
      <c r="H54" s="19" t="s">
        <v>95</v>
      </c>
      <c r="I54" s="19"/>
      <c r="J54" s="20" t="str">
        <f t="shared" si="0"/>
        <v/>
      </c>
      <c r="K54" s="20" t="str">
        <f>IF(G54="","",IF(COUNTIF('01_rules'!$A$2:$A$39,G54)=0,"rule 없음",""))</f>
        <v/>
      </c>
      <c r="L54" s="20" t="str">
        <f>IF(G54="","",IF(ISNUMBER(SEARCH(G54,IFERROR(VLOOKUP(C54,'03_units'!$B$2:$F$21,5,FALSE()),""))),"","unit 불일치"))</f>
        <v/>
      </c>
    </row>
    <row r="55" spans="1:12" ht="15" customHeight="1">
      <c r="A55" s="17" t="s">
        <v>735</v>
      </c>
      <c r="B55" s="17">
        <v>5</v>
      </c>
      <c r="C55" s="17" t="s">
        <v>117</v>
      </c>
      <c r="D55" s="17" t="s">
        <v>736</v>
      </c>
      <c r="E55" s="18" t="s">
        <v>737</v>
      </c>
      <c r="F55" s="18" t="s">
        <v>125</v>
      </c>
      <c r="G55" s="17" t="s">
        <v>122</v>
      </c>
      <c r="H55" s="19" t="s">
        <v>95</v>
      </c>
      <c r="I55" s="19"/>
      <c r="J55" s="20" t="str">
        <f t="shared" si="0"/>
        <v/>
      </c>
      <c r="K55" s="20" t="str">
        <f>IF(G55="","",IF(COUNTIF('01_rules'!$A$2:$A$39,G55)=0,"rule 없음",""))</f>
        <v/>
      </c>
      <c r="L55" s="20" t="str">
        <f>IF(G55="","",IF(ISNUMBER(SEARCH(G55,IFERROR(VLOOKUP(C55,'03_units'!$B$2:$F$21,5,FALSE()),""))),"","unit 불일치"))</f>
        <v/>
      </c>
    </row>
    <row r="56" spans="1:12" ht="23.25" customHeight="1">
      <c r="A56" s="17" t="s">
        <v>738</v>
      </c>
      <c r="B56" s="17">
        <v>5</v>
      </c>
      <c r="C56" s="17" t="s">
        <v>117</v>
      </c>
      <c r="D56" s="17" t="s">
        <v>739</v>
      </c>
      <c r="E56" s="18" t="s">
        <v>740</v>
      </c>
      <c r="F56" s="18" t="s">
        <v>336</v>
      </c>
      <c r="G56" s="17" t="s">
        <v>334</v>
      </c>
      <c r="H56" s="19" t="s">
        <v>95</v>
      </c>
      <c r="I56" s="19"/>
      <c r="J56" s="20" t="str">
        <f t="shared" si="0"/>
        <v/>
      </c>
      <c r="K56" s="20" t="str">
        <f>IF(G56="","",IF(COUNTIF('01_rules'!$A$2:$A$39,G56)=0,"rule 없음",""))</f>
        <v/>
      </c>
      <c r="L56" s="20" t="str">
        <f>IF(G56="","",IF(ISNUMBER(SEARCH(G56,IFERROR(VLOOKUP(C56,'03_units'!$B$2:$F$21,5,FALSE()),""))),"","unit 불일치"))</f>
        <v/>
      </c>
    </row>
    <row r="57" spans="1:12" ht="23.25" customHeight="1">
      <c r="A57" s="17" t="s">
        <v>741</v>
      </c>
      <c r="B57" s="17">
        <v>6</v>
      </c>
      <c r="C57" s="17" t="s">
        <v>117</v>
      </c>
      <c r="D57" s="17" t="s">
        <v>742</v>
      </c>
      <c r="E57" s="18" t="s">
        <v>743</v>
      </c>
      <c r="F57" s="18" t="s">
        <v>336</v>
      </c>
      <c r="G57" s="17" t="s">
        <v>334</v>
      </c>
      <c r="H57" s="19" t="s">
        <v>95</v>
      </c>
      <c r="I57" s="19"/>
      <c r="J57" s="20" t="str">
        <f t="shared" si="0"/>
        <v/>
      </c>
      <c r="K57" s="20" t="str">
        <f>IF(G57="","",IF(COUNTIF('01_rules'!$A$2:$A$39,G57)=0,"rule 없음",""))</f>
        <v/>
      </c>
      <c r="L57" s="20" t="str">
        <f>IF(G57="","",IF(ISNUMBER(SEARCH(G57,IFERROR(VLOOKUP(C57,'03_units'!$B$2:$F$21,5,FALSE()),""))),"","unit 불일치"))</f>
        <v/>
      </c>
    </row>
    <row r="58" spans="1:12" ht="15" customHeight="1">
      <c r="A58" s="17" t="s">
        <v>744</v>
      </c>
      <c r="B58" s="17">
        <v>6</v>
      </c>
      <c r="C58" s="17" t="s">
        <v>117</v>
      </c>
      <c r="D58" s="17" t="s">
        <v>745</v>
      </c>
      <c r="E58" s="18" t="s">
        <v>746</v>
      </c>
      <c r="F58" s="18" t="s">
        <v>313</v>
      </c>
      <c r="G58" s="17" t="s">
        <v>310</v>
      </c>
      <c r="H58" s="19" t="s">
        <v>95</v>
      </c>
      <c r="I58" s="19"/>
      <c r="J58" s="20" t="str">
        <f t="shared" si="0"/>
        <v/>
      </c>
      <c r="K58" s="20" t="str">
        <f>IF(G58="","",IF(COUNTIF('01_rules'!$A$2:$A$39,G58)=0,"rule 없음",""))</f>
        <v/>
      </c>
      <c r="L58" s="20" t="str">
        <f>IF(G58="","",IF(ISNUMBER(SEARCH(G58,IFERROR(VLOOKUP(C58,'03_units'!$B$2:$F$21,5,FALSE()),""))),"","unit 불일치"))</f>
        <v/>
      </c>
    </row>
    <row r="59" spans="1:12" ht="23.25" customHeight="1">
      <c r="A59" s="17" t="s">
        <v>747</v>
      </c>
      <c r="B59" s="17">
        <v>6</v>
      </c>
      <c r="C59" s="17" t="s">
        <v>117</v>
      </c>
      <c r="D59" s="17" t="s">
        <v>748</v>
      </c>
      <c r="E59" s="18" t="s">
        <v>749</v>
      </c>
      <c r="F59" s="18" t="s">
        <v>336</v>
      </c>
      <c r="G59" s="17" t="s">
        <v>334</v>
      </c>
      <c r="H59" s="19" t="s">
        <v>95</v>
      </c>
      <c r="I59" s="19"/>
      <c r="J59" s="20" t="str">
        <f t="shared" si="0"/>
        <v/>
      </c>
      <c r="K59" s="20" t="str">
        <f>IF(G59="","",IF(COUNTIF('01_rules'!$A$2:$A$39,G59)=0,"rule 없음",""))</f>
        <v/>
      </c>
      <c r="L59" s="20" t="str">
        <f>IF(G59="","",IF(ISNUMBER(SEARCH(G59,IFERROR(VLOOKUP(C59,'03_units'!$B$2:$F$21,5,FALSE()),""))),"","unit 불일치"))</f>
        <v/>
      </c>
    </row>
    <row r="60" spans="1:12" ht="15" customHeight="1">
      <c r="A60" s="17" t="s">
        <v>750</v>
      </c>
      <c r="B60" s="17">
        <v>6</v>
      </c>
      <c r="C60" s="17" t="s">
        <v>117</v>
      </c>
      <c r="D60" s="17" t="s">
        <v>751</v>
      </c>
      <c r="E60" s="18" t="s">
        <v>752</v>
      </c>
      <c r="F60" s="18" t="s">
        <v>336</v>
      </c>
      <c r="G60" s="17" t="s">
        <v>334</v>
      </c>
      <c r="H60" s="19" t="s">
        <v>95</v>
      </c>
      <c r="I60" s="19"/>
      <c r="J60" s="20" t="str">
        <f t="shared" si="0"/>
        <v/>
      </c>
      <c r="K60" s="20" t="str">
        <f>IF(G60="","",IF(COUNTIF('01_rules'!$A$2:$A$39,G60)=0,"rule 없음",""))</f>
        <v/>
      </c>
      <c r="L60" s="20" t="str">
        <f>IF(G60="","",IF(ISNUMBER(SEARCH(G60,IFERROR(VLOOKUP(C60,'03_units'!$B$2:$F$21,5,FALSE()),""))),"","unit 불일치"))</f>
        <v/>
      </c>
    </row>
    <row r="61" spans="1:12" ht="15" customHeight="1">
      <c r="A61" s="17" t="s">
        <v>753</v>
      </c>
      <c r="B61" s="17">
        <v>6</v>
      </c>
      <c r="C61" s="17" t="s">
        <v>117</v>
      </c>
      <c r="D61" s="17" t="s">
        <v>754</v>
      </c>
      <c r="E61" s="18" t="s">
        <v>755</v>
      </c>
      <c r="F61" s="18" t="s">
        <v>336</v>
      </c>
      <c r="G61" s="17" t="s">
        <v>334</v>
      </c>
      <c r="H61" s="19" t="s">
        <v>95</v>
      </c>
      <c r="I61" s="19"/>
      <c r="J61" s="20" t="str">
        <f t="shared" si="0"/>
        <v/>
      </c>
      <c r="K61" s="20" t="str">
        <f>IF(G61="","",IF(COUNTIF('01_rules'!$A$2:$A$39,G61)=0,"rule 없음",""))</f>
        <v/>
      </c>
      <c r="L61" s="20" t="str">
        <f>IF(G61="","",IF(ISNUMBER(SEARCH(G61,IFERROR(VLOOKUP(C61,'03_units'!$B$2:$F$21,5,FALSE()),""))),"","unit 불일치"))</f>
        <v/>
      </c>
    </row>
    <row r="62" spans="1:12" ht="15" customHeight="1">
      <c r="A62" s="17" t="s">
        <v>756</v>
      </c>
      <c r="B62" s="17">
        <v>3</v>
      </c>
      <c r="C62" s="17" t="s">
        <v>130</v>
      </c>
      <c r="D62" s="17" t="s">
        <v>757</v>
      </c>
      <c r="E62" s="18" t="s">
        <v>758</v>
      </c>
      <c r="F62" s="18" t="s">
        <v>132</v>
      </c>
      <c r="G62" s="17" t="s">
        <v>128</v>
      </c>
      <c r="H62" s="19" t="s">
        <v>95</v>
      </c>
      <c r="I62" s="19"/>
      <c r="J62" s="20" t="str">
        <f t="shared" si="0"/>
        <v/>
      </c>
      <c r="K62" s="20" t="str">
        <f>IF(G62="","",IF(COUNTIF('01_rules'!$A$2:$A$39,G62)=0,"rule 없음",""))</f>
        <v/>
      </c>
      <c r="L62" s="20" t="str">
        <f>IF(G62="","",IF(ISNUMBER(SEARCH(G62,IFERROR(VLOOKUP(C62,'03_units'!$B$2:$F$21,5,FALSE()),""))),"","unit 불일치"))</f>
        <v/>
      </c>
    </row>
    <row r="63" spans="1:12" ht="15" customHeight="1">
      <c r="A63" s="17" t="s">
        <v>759</v>
      </c>
      <c r="B63" s="17">
        <v>3</v>
      </c>
      <c r="C63" s="17" t="s">
        <v>130</v>
      </c>
      <c r="D63" s="17" t="s">
        <v>760</v>
      </c>
      <c r="E63" s="18" t="s">
        <v>761</v>
      </c>
      <c r="F63" s="18" t="s">
        <v>132</v>
      </c>
      <c r="G63" s="17" t="s">
        <v>128</v>
      </c>
      <c r="H63" s="19" t="s">
        <v>95</v>
      </c>
      <c r="I63" s="19"/>
      <c r="J63" s="20" t="str">
        <f t="shared" si="0"/>
        <v/>
      </c>
      <c r="K63" s="20" t="str">
        <f>IF(G63="","",IF(COUNTIF('01_rules'!$A$2:$A$39,G63)=0,"rule 없음",""))</f>
        <v/>
      </c>
      <c r="L63" s="20" t="str">
        <f>IF(G63="","",IF(ISNUMBER(SEARCH(G63,IFERROR(VLOOKUP(C63,'03_units'!$B$2:$F$21,5,FALSE()),""))),"","unit 불일치"))</f>
        <v/>
      </c>
    </row>
    <row r="64" spans="1:12" ht="29.25" customHeight="1">
      <c r="A64" s="17" t="s">
        <v>762</v>
      </c>
      <c r="B64" s="17">
        <v>3</v>
      </c>
      <c r="C64" s="17" t="s">
        <v>130</v>
      </c>
      <c r="D64" s="17" t="s">
        <v>763</v>
      </c>
      <c r="E64" s="18" t="s">
        <v>764</v>
      </c>
      <c r="F64" s="18" t="s">
        <v>132</v>
      </c>
      <c r="G64" s="17" t="s">
        <v>128</v>
      </c>
      <c r="H64" s="19" t="s">
        <v>95</v>
      </c>
      <c r="I64" s="19"/>
      <c r="J64" s="20" t="str">
        <f t="shared" si="0"/>
        <v/>
      </c>
      <c r="K64" s="20" t="str">
        <f>IF(G64="","",IF(COUNTIF('01_rules'!$A$2:$A$39,G64)=0,"rule 없음",""))</f>
        <v/>
      </c>
      <c r="L64" s="20" t="str">
        <f>IF(G64="","",IF(ISNUMBER(SEARCH(G64,IFERROR(VLOOKUP(C64,'03_units'!$B$2:$F$21,5,FALSE()),""))),"","unit 불일치"))</f>
        <v/>
      </c>
    </row>
    <row r="65" spans="1:12" ht="15" customHeight="1">
      <c r="A65" s="17" t="s">
        <v>765</v>
      </c>
      <c r="B65" s="17">
        <v>3</v>
      </c>
      <c r="C65" s="17" t="s">
        <v>130</v>
      </c>
      <c r="D65" s="17" t="s">
        <v>766</v>
      </c>
      <c r="E65" s="18" t="s">
        <v>767</v>
      </c>
      <c r="F65" s="18" t="s">
        <v>132</v>
      </c>
      <c r="G65" s="17" t="s">
        <v>128</v>
      </c>
      <c r="H65" s="19" t="s">
        <v>95</v>
      </c>
      <c r="I65" s="19"/>
      <c r="J65" s="20" t="str">
        <f t="shared" si="0"/>
        <v/>
      </c>
      <c r="K65" s="20" t="str">
        <f>IF(G65="","",IF(COUNTIF('01_rules'!$A$2:$A$39,G65)=0,"rule 없음",""))</f>
        <v/>
      </c>
      <c r="L65" s="20" t="str">
        <f>IF(G65="","",IF(ISNUMBER(SEARCH(G65,IFERROR(VLOOKUP(C65,'03_units'!$B$2:$F$21,5,FALSE()),""))),"","unit 불일치"))</f>
        <v/>
      </c>
    </row>
    <row r="66" spans="1:12" ht="15" customHeight="1">
      <c r="A66" s="17" t="s">
        <v>768</v>
      </c>
      <c r="B66" s="17">
        <v>3</v>
      </c>
      <c r="C66" s="17" t="s">
        <v>130</v>
      </c>
      <c r="D66" s="17" t="s">
        <v>769</v>
      </c>
      <c r="E66" s="18" t="s">
        <v>770</v>
      </c>
      <c r="F66" s="18" t="s">
        <v>132</v>
      </c>
      <c r="G66" s="17" t="s">
        <v>128</v>
      </c>
      <c r="H66" s="19" t="s">
        <v>95</v>
      </c>
      <c r="I66" s="19"/>
      <c r="J66" s="20" t="str">
        <f t="shared" ref="J66:J129" si="1">IF(A66="","",IF(COUNTIF($A$2:$A$401,A66)&gt;1,"중복",""))</f>
        <v/>
      </c>
      <c r="K66" s="20" t="str">
        <f>IF(G66="","",IF(COUNTIF('01_rules'!$A$2:$A$39,G66)=0,"rule 없음",""))</f>
        <v/>
      </c>
      <c r="L66" s="20" t="str">
        <f>IF(G66="","",IF(ISNUMBER(SEARCH(G66,IFERROR(VLOOKUP(C66,'03_units'!$B$2:$F$21,5,FALSE()),""))),"","unit 불일치"))</f>
        <v/>
      </c>
    </row>
    <row r="67" spans="1:12" ht="15" customHeight="1">
      <c r="A67" s="17" t="s">
        <v>771</v>
      </c>
      <c r="B67" s="17">
        <v>4</v>
      </c>
      <c r="C67" s="17" t="s">
        <v>130</v>
      </c>
      <c r="D67" s="17" t="s">
        <v>772</v>
      </c>
      <c r="E67" s="18" t="s">
        <v>773</v>
      </c>
      <c r="F67" s="18" t="s">
        <v>132</v>
      </c>
      <c r="G67" s="17" t="s">
        <v>128</v>
      </c>
      <c r="H67" s="19" t="s">
        <v>95</v>
      </c>
      <c r="I67" s="19"/>
      <c r="J67" s="20" t="str">
        <f t="shared" si="1"/>
        <v/>
      </c>
      <c r="K67" s="20" t="str">
        <f>IF(G67="","",IF(COUNTIF('01_rules'!$A$2:$A$39,G67)=0,"rule 없음",""))</f>
        <v/>
      </c>
      <c r="L67" s="20" t="str">
        <f>IF(G67="","",IF(ISNUMBER(SEARCH(G67,IFERROR(VLOOKUP(C67,'03_units'!$B$2:$F$21,5,FALSE()),""))),"","unit 불일치"))</f>
        <v/>
      </c>
    </row>
    <row r="68" spans="1:12" ht="15" customHeight="1">
      <c r="A68" s="17" t="s">
        <v>774</v>
      </c>
      <c r="B68" s="17">
        <v>4</v>
      </c>
      <c r="C68" s="17" t="s">
        <v>130</v>
      </c>
      <c r="D68" s="17" t="s">
        <v>775</v>
      </c>
      <c r="E68" s="18" t="s">
        <v>776</v>
      </c>
      <c r="F68" s="18" t="s">
        <v>132</v>
      </c>
      <c r="G68" s="17" t="s">
        <v>128</v>
      </c>
      <c r="H68" s="19" t="s">
        <v>95</v>
      </c>
      <c r="I68" s="19"/>
      <c r="J68" s="20" t="str">
        <f t="shared" si="1"/>
        <v/>
      </c>
      <c r="K68" s="20" t="str">
        <f>IF(G68="","",IF(COUNTIF('01_rules'!$A$2:$A$39,G68)=0,"rule 없음",""))</f>
        <v/>
      </c>
      <c r="L68" s="20" t="str">
        <f>IF(G68="","",IF(ISNUMBER(SEARCH(G68,IFERROR(VLOOKUP(C68,'03_units'!$B$2:$F$21,5,FALSE()),""))),"","unit 불일치"))</f>
        <v/>
      </c>
    </row>
    <row r="69" spans="1:12" ht="15" customHeight="1">
      <c r="A69" s="17" t="s">
        <v>777</v>
      </c>
      <c r="B69" s="17">
        <v>4</v>
      </c>
      <c r="C69" s="17" t="s">
        <v>130</v>
      </c>
      <c r="D69" s="17" t="s">
        <v>778</v>
      </c>
      <c r="E69" s="18" t="s">
        <v>779</v>
      </c>
      <c r="F69" s="18" t="s">
        <v>132</v>
      </c>
      <c r="G69" s="17" t="s">
        <v>128</v>
      </c>
      <c r="H69" s="19" t="s">
        <v>95</v>
      </c>
      <c r="I69" s="19"/>
      <c r="J69" s="20" t="str">
        <f t="shared" si="1"/>
        <v/>
      </c>
      <c r="K69" s="20" t="str">
        <f>IF(G69="","",IF(COUNTIF('01_rules'!$A$2:$A$39,G69)=0,"rule 없음",""))</f>
        <v/>
      </c>
      <c r="L69" s="20" t="str">
        <f>IF(G69="","",IF(ISNUMBER(SEARCH(G69,IFERROR(VLOOKUP(C69,'03_units'!$B$2:$F$21,5,FALSE()),""))),"","unit 불일치"))</f>
        <v/>
      </c>
    </row>
    <row r="70" spans="1:12" ht="29.25" customHeight="1">
      <c r="A70" s="17" t="s">
        <v>780</v>
      </c>
      <c r="B70" s="17">
        <v>4</v>
      </c>
      <c r="C70" s="17" t="s">
        <v>130</v>
      </c>
      <c r="D70" s="17" t="s">
        <v>781</v>
      </c>
      <c r="E70" s="18" t="s">
        <v>782</v>
      </c>
      <c r="F70" s="18" t="s">
        <v>132</v>
      </c>
      <c r="G70" s="17" t="s">
        <v>128</v>
      </c>
      <c r="H70" s="19" t="s">
        <v>95</v>
      </c>
      <c r="I70" s="19"/>
      <c r="J70" s="20" t="str">
        <f t="shared" si="1"/>
        <v/>
      </c>
      <c r="K70" s="20" t="str">
        <f>IF(G70="","",IF(COUNTIF('01_rules'!$A$2:$A$39,G70)=0,"rule 없음",""))</f>
        <v/>
      </c>
      <c r="L70" s="20" t="str">
        <f>IF(G70="","",IF(ISNUMBER(SEARCH(G70,IFERROR(VLOOKUP(C70,'03_units'!$B$2:$F$21,5,FALSE()),""))),"","unit 불일치"))</f>
        <v/>
      </c>
    </row>
    <row r="71" spans="1:12" ht="15" customHeight="1">
      <c r="A71" s="17" t="s">
        <v>783</v>
      </c>
      <c r="B71" s="17">
        <v>4</v>
      </c>
      <c r="C71" s="17" t="s">
        <v>130</v>
      </c>
      <c r="D71" s="17" t="s">
        <v>784</v>
      </c>
      <c r="E71" s="18" t="s">
        <v>785</v>
      </c>
      <c r="F71" s="18" t="s">
        <v>132</v>
      </c>
      <c r="G71" s="17" t="s">
        <v>128</v>
      </c>
      <c r="H71" s="19" t="s">
        <v>95</v>
      </c>
      <c r="I71" s="19"/>
      <c r="J71" s="20" t="str">
        <f t="shared" si="1"/>
        <v/>
      </c>
      <c r="K71" s="20" t="str">
        <f>IF(G71="","",IF(COUNTIF('01_rules'!$A$2:$A$39,G71)=0,"rule 없음",""))</f>
        <v/>
      </c>
      <c r="L71" s="20" t="str">
        <f>IF(G71="","",IF(ISNUMBER(SEARCH(G71,IFERROR(VLOOKUP(C71,'03_units'!$B$2:$F$21,5,FALSE()),""))),"","unit 불일치"))</f>
        <v/>
      </c>
    </row>
    <row r="72" spans="1:12" ht="29.25" customHeight="1">
      <c r="A72" s="17" t="s">
        <v>786</v>
      </c>
      <c r="B72" s="17">
        <v>5</v>
      </c>
      <c r="C72" s="17" t="s">
        <v>130</v>
      </c>
      <c r="D72" s="17" t="s">
        <v>787</v>
      </c>
      <c r="E72" s="18" t="s">
        <v>788</v>
      </c>
      <c r="F72" s="18" t="s">
        <v>138</v>
      </c>
      <c r="G72" s="17" t="s">
        <v>135</v>
      </c>
      <c r="H72" s="19" t="s">
        <v>95</v>
      </c>
      <c r="I72" s="19"/>
      <c r="J72" s="20" t="str">
        <f t="shared" si="1"/>
        <v/>
      </c>
      <c r="K72" s="20" t="str">
        <f>IF(G72="","",IF(COUNTIF('01_rules'!$A$2:$A$39,G72)=0,"rule 없음",""))</f>
        <v/>
      </c>
      <c r="L72" s="20" t="str">
        <f>IF(G72="","",IF(ISNUMBER(SEARCH(G72,IFERROR(VLOOKUP(C72,'03_units'!$B$2:$F$21,5,FALSE()),""))),"","unit 불일치"))</f>
        <v/>
      </c>
    </row>
    <row r="73" spans="1:12" ht="15" customHeight="1">
      <c r="A73" s="17" t="s">
        <v>789</v>
      </c>
      <c r="B73" s="17">
        <v>5</v>
      </c>
      <c r="C73" s="17" t="s">
        <v>130</v>
      </c>
      <c r="D73" s="17" t="s">
        <v>790</v>
      </c>
      <c r="E73" s="18" t="s">
        <v>791</v>
      </c>
      <c r="F73" s="18" t="s">
        <v>138</v>
      </c>
      <c r="G73" s="17" t="s">
        <v>135</v>
      </c>
      <c r="H73" s="19" t="s">
        <v>95</v>
      </c>
      <c r="I73" s="19"/>
      <c r="J73" s="20" t="str">
        <f t="shared" si="1"/>
        <v/>
      </c>
      <c r="K73" s="20" t="str">
        <f>IF(G73="","",IF(COUNTIF('01_rules'!$A$2:$A$39,G73)=0,"rule 없음",""))</f>
        <v/>
      </c>
      <c r="L73" s="20" t="str">
        <f>IF(G73="","",IF(ISNUMBER(SEARCH(G73,IFERROR(VLOOKUP(C73,'03_units'!$B$2:$F$21,5,FALSE()),""))),"","unit 불일치"))</f>
        <v/>
      </c>
    </row>
    <row r="74" spans="1:12" ht="15" customHeight="1">
      <c r="A74" s="17" t="s">
        <v>792</v>
      </c>
      <c r="B74" s="17">
        <v>5</v>
      </c>
      <c r="C74" s="17" t="s">
        <v>130</v>
      </c>
      <c r="D74" s="17" t="s">
        <v>793</v>
      </c>
      <c r="E74" s="18" t="s">
        <v>794</v>
      </c>
      <c r="F74" s="18" t="s">
        <v>138</v>
      </c>
      <c r="G74" s="17" t="s">
        <v>135</v>
      </c>
      <c r="H74" s="19" t="s">
        <v>95</v>
      </c>
      <c r="I74" s="19"/>
      <c r="J74" s="20" t="str">
        <f t="shared" si="1"/>
        <v/>
      </c>
      <c r="K74" s="20" t="str">
        <f>IF(G74="","",IF(COUNTIF('01_rules'!$A$2:$A$39,G74)=0,"rule 없음",""))</f>
        <v/>
      </c>
      <c r="L74" s="20" t="str">
        <f>IF(G74="","",IF(ISNUMBER(SEARCH(G74,IFERROR(VLOOKUP(C74,'03_units'!$B$2:$F$21,5,FALSE()),""))),"","unit 불일치"))</f>
        <v/>
      </c>
    </row>
    <row r="75" spans="1:12" ht="29.25" customHeight="1">
      <c r="A75" s="17" t="s">
        <v>795</v>
      </c>
      <c r="B75" s="17">
        <v>5</v>
      </c>
      <c r="C75" s="17" t="s">
        <v>130</v>
      </c>
      <c r="D75" s="17" t="s">
        <v>796</v>
      </c>
      <c r="E75" s="18" t="s">
        <v>797</v>
      </c>
      <c r="F75" s="18" t="s">
        <v>138</v>
      </c>
      <c r="G75" s="17" t="s">
        <v>135</v>
      </c>
      <c r="H75" s="19" t="s">
        <v>95</v>
      </c>
      <c r="I75" s="19"/>
      <c r="J75" s="20" t="str">
        <f t="shared" si="1"/>
        <v/>
      </c>
      <c r="K75" s="20" t="str">
        <f>IF(G75="","",IF(COUNTIF('01_rules'!$A$2:$A$39,G75)=0,"rule 없음",""))</f>
        <v/>
      </c>
      <c r="L75" s="20" t="str">
        <f>IF(G75="","",IF(ISNUMBER(SEARCH(G75,IFERROR(VLOOKUP(C75,'03_units'!$B$2:$F$21,5,FALSE()),""))),"","unit 불일치"))</f>
        <v/>
      </c>
    </row>
    <row r="76" spans="1:12" ht="29.25" customHeight="1">
      <c r="A76" s="17" t="s">
        <v>798</v>
      </c>
      <c r="B76" s="17">
        <v>5</v>
      </c>
      <c r="C76" s="17" t="s">
        <v>130</v>
      </c>
      <c r="D76" s="17" t="s">
        <v>799</v>
      </c>
      <c r="E76" s="18" t="s">
        <v>800</v>
      </c>
      <c r="F76" s="18" t="s">
        <v>138</v>
      </c>
      <c r="G76" s="17" t="s">
        <v>135</v>
      </c>
      <c r="H76" s="19" t="s">
        <v>95</v>
      </c>
      <c r="I76" s="19"/>
      <c r="J76" s="20" t="str">
        <f t="shared" si="1"/>
        <v/>
      </c>
      <c r="K76" s="20" t="str">
        <f>IF(G76="","",IF(COUNTIF('01_rules'!$A$2:$A$39,G76)=0,"rule 없음",""))</f>
        <v/>
      </c>
      <c r="L76" s="20" t="str">
        <f>IF(G76="","",IF(ISNUMBER(SEARCH(G76,IFERROR(VLOOKUP(C76,'03_units'!$B$2:$F$21,5,FALSE()),""))),"","unit 불일치"))</f>
        <v/>
      </c>
    </row>
    <row r="77" spans="1:12" ht="15" customHeight="1">
      <c r="A77" s="17" t="s">
        <v>801</v>
      </c>
      <c r="B77" s="17">
        <v>6</v>
      </c>
      <c r="C77" s="17" t="s">
        <v>130</v>
      </c>
      <c r="D77" s="17" t="s">
        <v>802</v>
      </c>
      <c r="E77" s="18" t="s">
        <v>803</v>
      </c>
      <c r="F77" s="18" t="s">
        <v>91</v>
      </c>
      <c r="G77" s="17" t="s">
        <v>87</v>
      </c>
      <c r="H77" s="19" t="s">
        <v>95</v>
      </c>
      <c r="I77" s="19"/>
      <c r="J77" s="20" t="str">
        <f t="shared" si="1"/>
        <v/>
      </c>
      <c r="K77" s="20" t="str">
        <f>IF(G77="","",IF(COUNTIF('01_rules'!$A$2:$A$39,G77)=0,"rule 없음",""))</f>
        <v/>
      </c>
      <c r="L77" s="20" t="str">
        <f>IF(G77="","",IF(ISNUMBER(SEARCH(G77,IFERROR(VLOOKUP(C77,'03_units'!$B$2:$F$21,5,FALSE()),""))),"","unit 불일치"))</f>
        <v/>
      </c>
    </row>
    <row r="78" spans="1:12" ht="15" customHeight="1">
      <c r="A78" s="17" t="s">
        <v>804</v>
      </c>
      <c r="B78" s="17">
        <v>6</v>
      </c>
      <c r="C78" s="17" t="s">
        <v>130</v>
      </c>
      <c r="D78" s="17" t="s">
        <v>805</v>
      </c>
      <c r="E78" s="18" t="s">
        <v>806</v>
      </c>
      <c r="F78" s="18" t="s">
        <v>336</v>
      </c>
      <c r="G78" s="17" t="s">
        <v>334</v>
      </c>
      <c r="H78" s="19" t="s">
        <v>95</v>
      </c>
      <c r="I78" s="19"/>
      <c r="J78" s="20" t="str">
        <f t="shared" si="1"/>
        <v/>
      </c>
      <c r="K78" s="20" t="str">
        <f>IF(G78="","",IF(COUNTIF('01_rules'!$A$2:$A$39,G78)=0,"rule 없음",""))</f>
        <v/>
      </c>
      <c r="L78" s="20" t="str">
        <f>IF(G78="","",IF(ISNUMBER(SEARCH(G78,IFERROR(VLOOKUP(C78,'03_units'!$B$2:$F$21,5,FALSE()),""))),"","unit 불일치"))</f>
        <v/>
      </c>
    </row>
    <row r="79" spans="1:12" ht="15" customHeight="1">
      <c r="A79" s="17" t="s">
        <v>807</v>
      </c>
      <c r="B79" s="17">
        <v>6</v>
      </c>
      <c r="C79" s="17" t="s">
        <v>130</v>
      </c>
      <c r="D79" s="17" t="s">
        <v>808</v>
      </c>
      <c r="E79" s="18" t="s">
        <v>809</v>
      </c>
      <c r="F79" s="18" t="s">
        <v>336</v>
      </c>
      <c r="G79" s="17" t="s">
        <v>334</v>
      </c>
      <c r="H79" s="19" t="s">
        <v>95</v>
      </c>
      <c r="I79" s="19"/>
      <c r="J79" s="20" t="str">
        <f t="shared" si="1"/>
        <v/>
      </c>
      <c r="K79" s="20" t="str">
        <f>IF(G79="","",IF(COUNTIF('01_rules'!$A$2:$A$39,G79)=0,"rule 없음",""))</f>
        <v/>
      </c>
      <c r="L79" s="20" t="str">
        <f>IF(G79="","",IF(ISNUMBER(SEARCH(G79,IFERROR(VLOOKUP(C79,'03_units'!$B$2:$F$21,5,FALSE()),""))),"","unit 불일치"))</f>
        <v/>
      </c>
    </row>
    <row r="80" spans="1:12" ht="15" customHeight="1">
      <c r="A80" s="17" t="s">
        <v>810</v>
      </c>
      <c r="B80" s="17">
        <v>6</v>
      </c>
      <c r="C80" s="17" t="s">
        <v>130</v>
      </c>
      <c r="D80" s="17" t="s">
        <v>811</v>
      </c>
      <c r="E80" s="18" t="s">
        <v>812</v>
      </c>
      <c r="F80" s="18" t="s">
        <v>336</v>
      </c>
      <c r="G80" s="17" t="s">
        <v>334</v>
      </c>
      <c r="H80" s="19" t="s">
        <v>95</v>
      </c>
      <c r="I80" s="19"/>
      <c r="J80" s="20" t="str">
        <f t="shared" si="1"/>
        <v/>
      </c>
      <c r="K80" s="20" t="str">
        <f>IF(G80="","",IF(COUNTIF('01_rules'!$A$2:$A$39,G80)=0,"rule 없음",""))</f>
        <v/>
      </c>
      <c r="L80" s="20" t="str">
        <f>IF(G80="","",IF(ISNUMBER(SEARCH(G80,IFERROR(VLOOKUP(C80,'03_units'!$B$2:$F$21,5,FALSE()),""))),"","unit 불일치"))</f>
        <v/>
      </c>
    </row>
    <row r="81" spans="1:12" ht="15" customHeight="1">
      <c r="A81" s="17" t="s">
        <v>813</v>
      </c>
      <c r="B81" s="17">
        <v>6</v>
      </c>
      <c r="C81" s="17" t="s">
        <v>130</v>
      </c>
      <c r="D81" s="17" t="s">
        <v>814</v>
      </c>
      <c r="E81" s="18" t="s">
        <v>815</v>
      </c>
      <c r="F81" s="18" t="s">
        <v>313</v>
      </c>
      <c r="G81" s="17" t="s">
        <v>310</v>
      </c>
      <c r="H81" s="19" t="s">
        <v>95</v>
      </c>
      <c r="I81" s="19"/>
      <c r="J81" s="20" t="str">
        <f t="shared" si="1"/>
        <v/>
      </c>
      <c r="K81" s="20" t="str">
        <f>IF(G81="","",IF(COUNTIF('01_rules'!$A$2:$A$39,G81)=0,"rule 없음",""))</f>
        <v/>
      </c>
      <c r="L81" s="20" t="str">
        <f>IF(G81="","",IF(ISNUMBER(SEARCH(G81,IFERROR(VLOOKUP(C81,'03_units'!$B$2:$F$21,5,FALSE()),""))),"","unit 불일치"))</f>
        <v/>
      </c>
    </row>
    <row r="82" spans="1:12" ht="15" customHeight="1">
      <c r="A82" s="17" t="s">
        <v>816</v>
      </c>
      <c r="B82" s="17">
        <v>3</v>
      </c>
      <c r="C82" s="17" t="s">
        <v>143</v>
      </c>
      <c r="D82" s="17" t="s">
        <v>817</v>
      </c>
      <c r="E82" s="18" t="s">
        <v>818</v>
      </c>
      <c r="F82" s="18" t="s">
        <v>313</v>
      </c>
      <c r="G82" s="17" t="s">
        <v>310</v>
      </c>
      <c r="H82" s="19" t="s">
        <v>95</v>
      </c>
      <c r="I82" s="19"/>
      <c r="J82" s="20" t="str">
        <f t="shared" si="1"/>
        <v/>
      </c>
      <c r="K82" s="20" t="str">
        <f>IF(G82="","",IF(COUNTIF('01_rules'!$A$2:$A$39,G82)=0,"rule 없음",""))</f>
        <v/>
      </c>
      <c r="L82" s="20" t="str">
        <f>IF(G82="","",IF(ISNUMBER(SEARCH(G82,IFERROR(VLOOKUP(C82,'03_units'!$B$2:$F$21,5,FALSE()),""))),"","unit 불일치"))</f>
        <v/>
      </c>
    </row>
    <row r="83" spans="1:12" ht="15" customHeight="1">
      <c r="A83" s="17" t="s">
        <v>819</v>
      </c>
      <c r="B83" s="17">
        <v>3</v>
      </c>
      <c r="C83" s="17" t="s">
        <v>143</v>
      </c>
      <c r="D83" s="17" t="s">
        <v>820</v>
      </c>
      <c r="E83" s="18" t="s">
        <v>821</v>
      </c>
      <c r="F83" s="18" t="s">
        <v>145</v>
      </c>
      <c r="G83" s="17" t="s">
        <v>141</v>
      </c>
      <c r="H83" s="19" t="s">
        <v>95</v>
      </c>
      <c r="I83" s="19"/>
      <c r="J83" s="20" t="str">
        <f t="shared" si="1"/>
        <v/>
      </c>
      <c r="K83" s="20" t="str">
        <f>IF(G83="","",IF(COUNTIF('01_rules'!$A$2:$A$39,G83)=0,"rule 없음",""))</f>
        <v/>
      </c>
      <c r="L83" s="20" t="str">
        <f>IF(G83="","",IF(ISNUMBER(SEARCH(G83,IFERROR(VLOOKUP(C83,'03_units'!$B$2:$F$21,5,FALSE()),""))),"","unit 불일치"))</f>
        <v/>
      </c>
    </row>
    <row r="84" spans="1:12" ht="15" customHeight="1">
      <c r="A84" s="17" t="s">
        <v>822</v>
      </c>
      <c r="B84" s="17">
        <v>3</v>
      </c>
      <c r="C84" s="17" t="s">
        <v>143</v>
      </c>
      <c r="D84" s="17" t="s">
        <v>823</v>
      </c>
      <c r="E84" s="18" t="s">
        <v>824</v>
      </c>
      <c r="F84" s="18" t="s">
        <v>145</v>
      </c>
      <c r="G84" s="17" t="s">
        <v>141</v>
      </c>
      <c r="H84" s="19" t="s">
        <v>95</v>
      </c>
      <c r="I84" s="19"/>
      <c r="J84" s="20" t="str">
        <f t="shared" si="1"/>
        <v/>
      </c>
      <c r="K84" s="20" t="str">
        <f>IF(G84="","",IF(COUNTIF('01_rules'!$A$2:$A$39,G84)=0,"rule 없음",""))</f>
        <v/>
      </c>
      <c r="L84" s="20" t="str">
        <f>IF(G84="","",IF(ISNUMBER(SEARCH(G84,IFERROR(VLOOKUP(C84,'03_units'!$B$2:$F$21,5,FALSE()),""))),"","unit 불일치"))</f>
        <v/>
      </c>
    </row>
    <row r="85" spans="1:12" ht="15" customHeight="1">
      <c r="A85" s="17" t="s">
        <v>825</v>
      </c>
      <c r="B85" s="17">
        <v>3</v>
      </c>
      <c r="C85" s="17" t="s">
        <v>143</v>
      </c>
      <c r="D85" s="17" t="s">
        <v>826</v>
      </c>
      <c r="E85" s="18" t="s">
        <v>827</v>
      </c>
      <c r="F85" s="18" t="s">
        <v>145</v>
      </c>
      <c r="G85" s="17" t="s">
        <v>141</v>
      </c>
      <c r="H85" s="19" t="s">
        <v>95</v>
      </c>
      <c r="I85" s="19"/>
      <c r="J85" s="20" t="str">
        <f t="shared" si="1"/>
        <v/>
      </c>
      <c r="K85" s="20" t="str">
        <f>IF(G85="","",IF(COUNTIF('01_rules'!$A$2:$A$39,G85)=0,"rule 없음",""))</f>
        <v/>
      </c>
      <c r="L85" s="20" t="str">
        <f>IF(G85="","",IF(ISNUMBER(SEARCH(G85,IFERROR(VLOOKUP(C85,'03_units'!$B$2:$F$21,5,FALSE()),""))),"","unit 불일치"))</f>
        <v/>
      </c>
    </row>
    <row r="86" spans="1:12" ht="15" customHeight="1">
      <c r="A86" s="17" t="s">
        <v>828</v>
      </c>
      <c r="B86" s="17">
        <v>3</v>
      </c>
      <c r="C86" s="17" t="s">
        <v>143</v>
      </c>
      <c r="D86" s="17" t="s">
        <v>829</v>
      </c>
      <c r="E86" s="18" t="s">
        <v>830</v>
      </c>
      <c r="F86" s="18" t="s">
        <v>313</v>
      </c>
      <c r="G86" s="17" t="s">
        <v>310</v>
      </c>
      <c r="H86" s="19" t="s">
        <v>95</v>
      </c>
      <c r="I86" s="19"/>
      <c r="J86" s="20" t="str">
        <f t="shared" si="1"/>
        <v/>
      </c>
      <c r="K86" s="20" t="str">
        <f>IF(G86="","",IF(COUNTIF('01_rules'!$A$2:$A$39,G86)=0,"rule 없음",""))</f>
        <v/>
      </c>
      <c r="L86" s="20" t="str">
        <f>IF(G86="","",IF(ISNUMBER(SEARCH(G86,IFERROR(VLOOKUP(C86,'03_units'!$B$2:$F$21,5,FALSE()),""))),"","unit 불일치"))</f>
        <v/>
      </c>
    </row>
    <row r="87" spans="1:12" ht="15" customHeight="1">
      <c r="A87" s="17" t="s">
        <v>831</v>
      </c>
      <c r="B87" s="17">
        <v>4</v>
      </c>
      <c r="C87" s="17" t="s">
        <v>143</v>
      </c>
      <c r="D87" s="17" t="s">
        <v>832</v>
      </c>
      <c r="E87" s="18" t="s">
        <v>833</v>
      </c>
      <c r="F87" s="18" t="s">
        <v>151</v>
      </c>
      <c r="G87" s="17" t="s">
        <v>148</v>
      </c>
      <c r="H87" s="19" t="s">
        <v>95</v>
      </c>
      <c r="I87" s="19"/>
      <c r="J87" s="20" t="str">
        <f t="shared" si="1"/>
        <v/>
      </c>
      <c r="K87" s="20" t="str">
        <f>IF(G87="","",IF(COUNTIF('01_rules'!$A$2:$A$39,G87)=0,"rule 없음",""))</f>
        <v/>
      </c>
      <c r="L87" s="20" t="str">
        <f>IF(G87="","",IF(ISNUMBER(SEARCH(G87,IFERROR(VLOOKUP(C87,'03_units'!$B$2:$F$21,5,FALSE()),""))),"","unit 불일치"))</f>
        <v/>
      </c>
    </row>
    <row r="88" spans="1:12" ht="15" customHeight="1">
      <c r="A88" s="17" t="s">
        <v>834</v>
      </c>
      <c r="B88" s="17">
        <v>4</v>
      </c>
      <c r="C88" s="17" t="s">
        <v>143</v>
      </c>
      <c r="D88" s="17" t="s">
        <v>835</v>
      </c>
      <c r="E88" s="18" t="s">
        <v>836</v>
      </c>
      <c r="F88" s="18" t="s">
        <v>151</v>
      </c>
      <c r="G88" s="17" t="s">
        <v>148</v>
      </c>
      <c r="H88" s="19" t="s">
        <v>95</v>
      </c>
      <c r="I88" s="19"/>
      <c r="J88" s="20" t="str">
        <f t="shared" si="1"/>
        <v/>
      </c>
      <c r="K88" s="20" t="str">
        <f>IF(G88="","",IF(COUNTIF('01_rules'!$A$2:$A$39,G88)=0,"rule 없음",""))</f>
        <v/>
      </c>
      <c r="L88" s="20" t="str">
        <f>IF(G88="","",IF(ISNUMBER(SEARCH(G88,IFERROR(VLOOKUP(C88,'03_units'!$B$2:$F$21,5,FALSE()),""))),"","unit 불일치"))</f>
        <v/>
      </c>
    </row>
    <row r="89" spans="1:12" ht="15" customHeight="1">
      <c r="A89" s="17" t="s">
        <v>837</v>
      </c>
      <c r="B89" s="17">
        <v>4</v>
      </c>
      <c r="C89" s="17" t="s">
        <v>143</v>
      </c>
      <c r="D89" s="17" t="s">
        <v>838</v>
      </c>
      <c r="E89" s="18" t="s">
        <v>839</v>
      </c>
      <c r="F89" s="18" t="s">
        <v>151</v>
      </c>
      <c r="G89" s="17" t="s">
        <v>148</v>
      </c>
      <c r="H89" s="19" t="s">
        <v>95</v>
      </c>
      <c r="I89" s="19"/>
      <c r="J89" s="20" t="str">
        <f t="shared" si="1"/>
        <v/>
      </c>
      <c r="K89" s="20" t="str">
        <f>IF(G89="","",IF(COUNTIF('01_rules'!$A$2:$A$39,G89)=0,"rule 없음",""))</f>
        <v/>
      </c>
      <c r="L89" s="20" t="str">
        <f>IF(G89="","",IF(ISNUMBER(SEARCH(G89,IFERROR(VLOOKUP(C89,'03_units'!$B$2:$F$21,5,FALSE()),""))),"","unit 불일치"))</f>
        <v/>
      </c>
    </row>
    <row r="90" spans="1:12" ht="15" customHeight="1">
      <c r="A90" s="17" t="s">
        <v>840</v>
      </c>
      <c r="B90" s="17">
        <v>4</v>
      </c>
      <c r="C90" s="17" t="s">
        <v>143</v>
      </c>
      <c r="D90" s="17" t="s">
        <v>841</v>
      </c>
      <c r="E90" s="18" t="s">
        <v>842</v>
      </c>
      <c r="F90" s="18" t="s">
        <v>151</v>
      </c>
      <c r="G90" s="17" t="s">
        <v>148</v>
      </c>
      <c r="H90" s="19" t="s">
        <v>95</v>
      </c>
      <c r="I90" s="19"/>
      <c r="J90" s="20" t="str">
        <f t="shared" si="1"/>
        <v/>
      </c>
      <c r="K90" s="20" t="str">
        <f>IF(G90="","",IF(COUNTIF('01_rules'!$A$2:$A$39,G90)=0,"rule 없음",""))</f>
        <v/>
      </c>
      <c r="L90" s="20" t="str">
        <f>IF(G90="","",IF(ISNUMBER(SEARCH(G90,IFERROR(VLOOKUP(C90,'03_units'!$B$2:$F$21,5,FALSE()),""))),"","unit 불일치"))</f>
        <v/>
      </c>
    </row>
    <row r="91" spans="1:12" ht="15" customHeight="1">
      <c r="A91" s="17" t="s">
        <v>843</v>
      </c>
      <c r="B91" s="17">
        <v>4</v>
      </c>
      <c r="C91" s="17" t="s">
        <v>143</v>
      </c>
      <c r="D91" s="17" t="s">
        <v>844</v>
      </c>
      <c r="E91" s="18" t="s">
        <v>845</v>
      </c>
      <c r="F91" s="18" t="s">
        <v>151</v>
      </c>
      <c r="G91" s="17" t="s">
        <v>148</v>
      </c>
      <c r="H91" s="19" t="s">
        <v>95</v>
      </c>
      <c r="I91" s="19"/>
      <c r="J91" s="20" t="str">
        <f t="shared" si="1"/>
        <v/>
      </c>
      <c r="K91" s="20" t="str">
        <f>IF(G91="","",IF(COUNTIF('01_rules'!$A$2:$A$39,G91)=0,"rule 없음",""))</f>
        <v/>
      </c>
      <c r="L91" s="20" t="str">
        <f>IF(G91="","",IF(ISNUMBER(SEARCH(G91,IFERROR(VLOOKUP(C91,'03_units'!$B$2:$F$21,5,FALSE()),""))),"","unit 불일치"))</f>
        <v/>
      </c>
    </row>
    <row r="92" spans="1:12" ht="15" customHeight="1">
      <c r="A92" s="17" t="s">
        <v>846</v>
      </c>
      <c r="B92" s="17">
        <v>5</v>
      </c>
      <c r="C92" s="17" t="s">
        <v>143</v>
      </c>
      <c r="D92" s="17" t="s">
        <v>847</v>
      </c>
      <c r="E92" s="18" t="s">
        <v>848</v>
      </c>
      <c r="F92" s="18" t="s">
        <v>336</v>
      </c>
      <c r="G92" s="17" t="s">
        <v>334</v>
      </c>
      <c r="H92" s="19" t="s">
        <v>95</v>
      </c>
      <c r="I92" s="19"/>
      <c r="J92" s="20" t="str">
        <f t="shared" si="1"/>
        <v/>
      </c>
      <c r="K92" s="20" t="str">
        <f>IF(G92="","",IF(COUNTIF('01_rules'!$A$2:$A$39,G92)=0,"rule 없음",""))</f>
        <v/>
      </c>
      <c r="L92" s="20" t="str">
        <f>IF(G92="","",IF(ISNUMBER(SEARCH(G92,IFERROR(VLOOKUP(C92,'03_units'!$B$2:$F$21,5,FALSE()),""))),"","unit 불일치"))</f>
        <v/>
      </c>
    </row>
    <row r="93" spans="1:12" ht="15" customHeight="1">
      <c r="A93" s="17" t="s">
        <v>849</v>
      </c>
      <c r="B93" s="17">
        <v>5</v>
      </c>
      <c r="C93" s="17" t="s">
        <v>143</v>
      </c>
      <c r="D93" s="17" t="s">
        <v>850</v>
      </c>
      <c r="E93" s="18" t="s">
        <v>851</v>
      </c>
      <c r="F93" s="18" t="s">
        <v>145</v>
      </c>
      <c r="G93" s="17" t="s">
        <v>141</v>
      </c>
      <c r="H93" s="19" t="s">
        <v>95</v>
      </c>
      <c r="I93" s="19"/>
      <c r="J93" s="20" t="str">
        <f t="shared" si="1"/>
        <v/>
      </c>
      <c r="K93" s="20" t="str">
        <f>IF(G93="","",IF(COUNTIF('01_rules'!$A$2:$A$39,G93)=0,"rule 없음",""))</f>
        <v/>
      </c>
      <c r="L93" s="20" t="str">
        <f>IF(G93="","",IF(ISNUMBER(SEARCH(G93,IFERROR(VLOOKUP(C93,'03_units'!$B$2:$F$21,5,FALSE()),""))),"","unit 불일치"))</f>
        <v/>
      </c>
    </row>
    <row r="94" spans="1:12" ht="15" customHeight="1">
      <c r="A94" s="17" t="s">
        <v>852</v>
      </c>
      <c r="B94" s="17">
        <v>5</v>
      </c>
      <c r="C94" s="17" t="s">
        <v>143</v>
      </c>
      <c r="D94" s="17" t="s">
        <v>853</v>
      </c>
      <c r="E94" s="18" t="s">
        <v>854</v>
      </c>
      <c r="F94" s="18" t="s">
        <v>336</v>
      </c>
      <c r="G94" s="17" t="s">
        <v>334</v>
      </c>
      <c r="H94" s="19" t="s">
        <v>95</v>
      </c>
      <c r="I94" s="19"/>
      <c r="J94" s="20" t="str">
        <f t="shared" si="1"/>
        <v/>
      </c>
      <c r="K94" s="20" t="str">
        <f>IF(G94="","",IF(COUNTIF('01_rules'!$A$2:$A$39,G94)=0,"rule 없음",""))</f>
        <v/>
      </c>
      <c r="L94" s="20" t="str">
        <f>IF(G94="","",IF(ISNUMBER(SEARCH(G94,IFERROR(VLOOKUP(C94,'03_units'!$B$2:$F$21,5,FALSE()),""))),"","unit 불일치"))</f>
        <v/>
      </c>
    </row>
    <row r="95" spans="1:12" ht="15" customHeight="1">
      <c r="A95" s="17" t="s">
        <v>855</v>
      </c>
      <c r="B95" s="17">
        <v>5</v>
      </c>
      <c r="C95" s="17" t="s">
        <v>143</v>
      </c>
      <c r="D95" s="17" t="s">
        <v>856</v>
      </c>
      <c r="E95" s="18" t="s">
        <v>857</v>
      </c>
      <c r="F95" s="18" t="s">
        <v>336</v>
      </c>
      <c r="G95" s="17" t="s">
        <v>334</v>
      </c>
      <c r="H95" s="19" t="s">
        <v>95</v>
      </c>
      <c r="I95" s="19"/>
      <c r="J95" s="20" t="str">
        <f t="shared" si="1"/>
        <v/>
      </c>
      <c r="K95" s="20" t="str">
        <f>IF(G95="","",IF(COUNTIF('01_rules'!$A$2:$A$39,G95)=0,"rule 없음",""))</f>
        <v/>
      </c>
      <c r="L95" s="20" t="str">
        <f>IF(G95="","",IF(ISNUMBER(SEARCH(G95,IFERROR(VLOOKUP(C95,'03_units'!$B$2:$F$21,5,FALSE()),""))),"","unit 불일치"))</f>
        <v/>
      </c>
    </row>
    <row r="96" spans="1:12" ht="15" customHeight="1">
      <c r="A96" s="17" t="s">
        <v>858</v>
      </c>
      <c r="B96" s="17">
        <v>5</v>
      </c>
      <c r="C96" s="17" t="s">
        <v>143</v>
      </c>
      <c r="D96" s="17" t="s">
        <v>859</v>
      </c>
      <c r="E96" s="18" t="s">
        <v>860</v>
      </c>
      <c r="F96" s="18" t="s">
        <v>336</v>
      </c>
      <c r="G96" s="17" t="s">
        <v>334</v>
      </c>
      <c r="H96" s="19" t="s">
        <v>95</v>
      </c>
      <c r="I96" s="19"/>
      <c r="J96" s="20" t="str">
        <f t="shared" si="1"/>
        <v/>
      </c>
      <c r="K96" s="20" t="str">
        <f>IF(G96="","",IF(COUNTIF('01_rules'!$A$2:$A$39,G96)=0,"rule 없음",""))</f>
        <v/>
      </c>
      <c r="L96" s="20" t="str">
        <f>IF(G96="","",IF(ISNUMBER(SEARCH(G96,IFERROR(VLOOKUP(C96,'03_units'!$B$2:$F$21,5,FALSE()),""))),"","unit 불일치"))</f>
        <v/>
      </c>
    </row>
    <row r="97" spans="1:12" ht="15" customHeight="1">
      <c r="A97" s="17" t="s">
        <v>861</v>
      </c>
      <c r="B97" s="17">
        <v>6</v>
      </c>
      <c r="C97" s="17" t="s">
        <v>143</v>
      </c>
      <c r="D97" s="17" t="s">
        <v>862</v>
      </c>
      <c r="E97" s="18" t="s">
        <v>863</v>
      </c>
      <c r="F97" s="18" t="s">
        <v>145</v>
      </c>
      <c r="G97" s="17" t="s">
        <v>141</v>
      </c>
      <c r="H97" s="19" t="s">
        <v>95</v>
      </c>
      <c r="I97" s="19"/>
      <c r="J97" s="20" t="str">
        <f t="shared" si="1"/>
        <v/>
      </c>
      <c r="K97" s="20" t="str">
        <f>IF(G97="","",IF(COUNTIF('01_rules'!$A$2:$A$39,G97)=0,"rule 없음",""))</f>
        <v/>
      </c>
      <c r="L97" s="20" t="str">
        <f>IF(G97="","",IF(ISNUMBER(SEARCH(G97,IFERROR(VLOOKUP(C97,'03_units'!$B$2:$F$21,5,FALSE()),""))),"","unit 불일치"))</f>
        <v/>
      </c>
    </row>
    <row r="98" spans="1:12" ht="15" customHeight="1">
      <c r="A98" s="17" t="s">
        <v>864</v>
      </c>
      <c r="B98" s="17">
        <v>6</v>
      </c>
      <c r="C98" s="17" t="s">
        <v>143</v>
      </c>
      <c r="D98" s="17" t="s">
        <v>865</v>
      </c>
      <c r="E98" s="18" t="s">
        <v>866</v>
      </c>
      <c r="F98" s="18" t="s">
        <v>145</v>
      </c>
      <c r="G98" s="17" t="s">
        <v>141</v>
      </c>
      <c r="H98" s="19" t="s">
        <v>95</v>
      </c>
      <c r="I98" s="19"/>
      <c r="J98" s="20" t="str">
        <f t="shared" si="1"/>
        <v/>
      </c>
      <c r="K98" s="20" t="str">
        <f>IF(G98="","",IF(COUNTIF('01_rules'!$A$2:$A$39,G98)=0,"rule 없음",""))</f>
        <v/>
      </c>
      <c r="L98" s="20" t="str">
        <f>IF(G98="","",IF(ISNUMBER(SEARCH(G98,IFERROR(VLOOKUP(C98,'03_units'!$B$2:$F$21,5,FALSE()),""))),"","unit 불일치"))</f>
        <v/>
      </c>
    </row>
    <row r="99" spans="1:12" ht="15" customHeight="1">
      <c r="A99" s="17" t="s">
        <v>867</v>
      </c>
      <c r="B99" s="17">
        <v>6</v>
      </c>
      <c r="C99" s="17" t="s">
        <v>143</v>
      </c>
      <c r="D99" s="17" t="s">
        <v>868</v>
      </c>
      <c r="E99" s="18" t="s">
        <v>869</v>
      </c>
      <c r="F99" s="18" t="s">
        <v>145</v>
      </c>
      <c r="G99" s="17" t="s">
        <v>141</v>
      </c>
      <c r="H99" s="19" t="s">
        <v>95</v>
      </c>
      <c r="I99" s="19"/>
      <c r="J99" s="20" t="str">
        <f t="shared" si="1"/>
        <v/>
      </c>
      <c r="K99" s="20" t="str">
        <f>IF(G99="","",IF(COUNTIF('01_rules'!$A$2:$A$39,G99)=0,"rule 없음",""))</f>
        <v/>
      </c>
      <c r="L99" s="20" t="str">
        <f>IF(G99="","",IF(ISNUMBER(SEARCH(G99,IFERROR(VLOOKUP(C99,'03_units'!$B$2:$F$21,5,FALSE()),""))),"","unit 불일치"))</f>
        <v/>
      </c>
    </row>
    <row r="100" spans="1:12" ht="15" customHeight="1">
      <c r="A100" s="17" t="s">
        <v>870</v>
      </c>
      <c r="B100" s="17">
        <v>6</v>
      </c>
      <c r="C100" s="17" t="s">
        <v>143</v>
      </c>
      <c r="D100" s="17" t="s">
        <v>871</v>
      </c>
      <c r="E100" s="18" t="s">
        <v>872</v>
      </c>
      <c r="F100" s="18" t="s">
        <v>145</v>
      </c>
      <c r="G100" s="17" t="s">
        <v>141</v>
      </c>
      <c r="H100" s="19" t="s">
        <v>95</v>
      </c>
      <c r="I100" s="19"/>
      <c r="J100" s="20" t="str">
        <f t="shared" si="1"/>
        <v/>
      </c>
      <c r="K100" s="20" t="str">
        <f>IF(G100="","",IF(COUNTIF('01_rules'!$A$2:$A$39,G100)=0,"rule 없음",""))</f>
        <v/>
      </c>
      <c r="L100" s="20" t="str">
        <f>IF(G100="","",IF(ISNUMBER(SEARCH(G100,IFERROR(VLOOKUP(C100,'03_units'!$B$2:$F$21,5,FALSE()),""))),"","unit 불일치"))</f>
        <v/>
      </c>
    </row>
    <row r="101" spans="1:12" ht="15" customHeight="1">
      <c r="A101" s="17" t="s">
        <v>873</v>
      </c>
      <c r="B101" s="17">
        <v>6</v>
      </c>
      <c r="C101" s="17" t="s">
        <v>143</v>
      </c>
      <c r="D101" s="17" t="s">
        <v>874</v>
      </c>
      <c r="E101" s="18" t="s">
        <v>875</v>
      </c>
      <c r="F101" s="18" t="s">
        <v>145</v>
      </c>
      <c r="G101" s="17" t="s">
        <v>141</v>
      </c>
      <c r="H101" s="19" t="s">
        <v>95</v>
      </c>
      <c r="I101" s="19"/>
      <c r="J101" s="20" t="str">
        <f t="shared" si="1"/>
        <v/>
      </c>
      <c r="K101" s="20" t="str">
        <f>IF(G101="","",IF(COUNTIF('01_rules'!$A$2:$A$39,G101)=0,"rule 없음",""))</f>
        <v/>
      </c>
      <c r="L101" s="20" t="str">
        <f>IF(G101="","",IF(ISNUMBER(SEARCH(G101,IFERROR(VLOOKUP(C101,'03_units'!$B$2:$F$21,5,FALSE()),""))),"","unit 불일치"))</f>
        <v/>
      </c>
    </row>
    <row r="102" spans="1:12" ht="15" customHeight="1">
      <c r="A102" s="17" t="s">
        <v>876</v>
      </c>
      <c r="B102" s="17">
        <v>3</v>
      </c>
      <c r="C102" s="17" t="s">
        <v>156</v>
      </c>
      <c r="D102" s="17" t="s">
        <v>877</v>
      </c>
      <c r="E102" s="18" t="s">
        <v>878</v>
      </c>
      <c r="F102" s="18" t="s">
        <v>158</v>
      </c>
      <c r="G102" s="17" t="s">
        <v>154</v>
      </c>
      <c r="H102" s="19" t="s">
        <v>95</v>
      </c>
      <c r="I102" s="19"/>
      <c r="J102" s="20" t="str">
        <f t="shared" si="1"/>
        <v/>
      </c>
      <c r="K102" s="20" t="str">
        <f>IF(G102="","",IF(COUNTIF('01_rules'!$A$2:$A$39,G102)=0,"rule 없음",""))</f>
        <v/>
      </c>
      <c r="L102" s="20" t="str">
        <f>IF(G102="","",IF(ISNUMBER(SEARCH(G102,IFERROR(VLOOKUP(C102,'03_units'!$B$2:$F$21,5,FALSE()),""))),"","unit 불일치"))</f>
        <v/>
      </c>
    </row>
    <row r="103" spans="1:12" ht="15" customHeight="1">
      <c r="A103" s="17" t="s">
        <v>879</v>
      </c>
      <c r="B103" s="17">
        <v>3</v>
      </c>
      <c r="C103" s="17" t="s">
        <v>156</v>
      </c>
      <c r="D103" s="17" t="s">
        <v>880</v>
      </c>
      <c r="E103" s="18" t="s">
        <v>881</v>
      </c>
      <c r="F103" s="18" t="s">
        <v>158</v>
      </c>
      <c r="G103" s="17" t="s">
        <v>154</v>
      </c>
      <c r="H103" s="19" t="s">
        <v>95</v>
      </c>
      <c r="I103" s="19"/>
      <c r="J103" s="20" t="str">
        <f t="shared" si="1"/>
        <v/>
      </c>
      <c r="K103" s="20" t="str">
        <f>IF(G103="","",IF(COUNTIF('01_rules'!$A$2:$A$39,G103)=0,"rule 없음",""))</f>
        <v/>
      </c>
      <c r="L103" s="20" t="str">
        <f>IF(G103="","",IF(ISNUMBER(SEARCH(G103,IFERROR(VLOOKUP(C103,'03_units'!$B$2:$F$21,5,FALSE()),""))),"","unit 불일치"))</f>
        <v/>
      </c>
    </row>
    <row r="104" spans="1:12" ht="15" customHeight="1">
      <c r="A104" s="17" t="s">
        <v>882</v>
      </c>
      <c r="B104" s="17">
        <v>3</v>
      </c>
      <c r="C104" s="17" t="s">
        <v>156</v>
      </c>
      <c r="D104" s="17" t="s">
        <v>883</v>
      </c>
      <c r="E104" s="18" t="s">
        <v>884</v>
      </c>
      <c r="F104" s="18" t="s">
        <v>158</v>
      </c>
      <c r="G104" s="17" t="s">
        <v>154</v>
      </c>
      <c r="H104" s="19" t="s">
        <v>95</v>
      </c>
      <c r="I104" s="19"/>
      <c r="J104" s="20" t="str">
        <f t="shared" si="1"/>
        <v/>
      </c>
      <c r="K104" s="20" t="str">
        <f>IF(G104="","",IF(COUNTIF('01_rules'!$A$2:$A$39,G104)=0,"rule 없음",""))</f>
        <v/>
      </c>
      <c r="L104" s="20" t="str">
        <f>IF(G104="","",IF(ISNUMBER(SEARCH(G104,IFERROR(VLOOKUP(C104,'03_units'!$B$2:$F$21,5,FALSE()),""))),"","unit 불일치"))</f>
        <v/>
      </c>
    </row>
    <row r="105" spans="1:12" ht="15" customHeight="1">
      <c r="A105" s="17" t="s">
        <v>885</v>
      </c>
      <c r="B105" s="17">
        <v>3</v>
      </c>
      <c r="C105" s="17" t="s">
        <v>156</v>
      </c>
      <c r="D105" s="17" t="s">
        <v>886</v>
      </c>
      <c r="E105" s="18" t="s">
        <v>887</v>
      </c>
      <c r="F105" s="18" t="s">
        <v>158</v>
      </c>
      <c r="G105" s="17" t="s">
        <v>154</v>
      </c>
      <c r="H105" s="19" t="s">
        <v>95</v>
      </c>
      <c r="I105" s="19"/>
      <c r="J105" s="20" t="str">
        <f t="shared" si="1"/>
        <v/>
      </c>
      <c r="K105" s="20" t="str">
        <f>IF(G105="","",IF(COUNTIF('01_rules'!$A$2:$A$39,G105)=0,"rule 없음",""))</f>
        <v/>
      </c>
      <c r="L105" s="20" t="str">
        <f>IF(G105="","",IF(ISNUMBER(SEARCH(G105,IFERROR(VLOOKUP(C105,'03_units'!$B$2:$F$21,5,FALSE()),""))),"","unit 불일치"))</f>
        <v/>
      </c>
    </row>
    <row r="106" spans="1:12" ht="15" customHeight="1">
      <c r="A106" s="17" t="s">
        <v>888</v>
      </c>
      <c r="B106" s="17">
        <v>3</v>
      </c>
      <c r="C106" s="17" t="s">
        <v>156</v>
      </c>
      <c r="D106" s="17" t="s">
        <v>889</v>
      </c>
      <c r="E106" s="18" t="s">
        <v>890</v>
      </c>
      <c r="F106" s="18" t="s">
        <v>158</v>
      </c>
      <c r="G106" s="17" t="s">
        <v>154</v>
      </c>
      <c r="H106" s="19" t="s">
        <v>95</v>
      </c>
      <c r="I106" s="19"/>
      <c r="J106" s="20" t="str">
        <f t="shared" si="1"/>
        <v/>
      </c>
      <c r="K106" s="20" t="str">
        <f>IF(G106="","",IF(COUNTIF('01_rules'!$A$2:$A$39,G106)=0,"rule 없음",""))</f>
        <v/>
      </c>
      <c r="L106" s="20" t="str">
        <f>IF(G106="","",IF(ISNUMBER(SEARCH(G106,IFERROR(VLOOKUP(C106,'03_units'!$B$2:$F$21,5,FALSE()),""))),"","unit 불일치"))</f>
        <v/>
      </c>
    </row>
    <row r="107" spans="1:12" ht="15" customHeight="1">
      <c r="A107" s="17" t="s">
        <v>891</v>
      </c>
      <c r="B107" s="17">
        <v>4</v>
      </c>
      <c r="C107" s="17" t="s">
        <v>156</v>
      </c>
      <c r="D107" s="17" t="s">
        <v>892</v>
      </c>
      <c r="E107" s="18" t="s">
        <v>893</v>
      </c>
      <c r="F107" s="18" t="s">
        <v>158</v>
      </c>
      <c r="G107" s="17" t="s">
        <v>154</v>
      </c>
      <c r="H107" s="19" t="s">
        <v>95</v>
      </c>
      <c r="I107" s="19"/>
      <c r="J107" s="20" t="str">
        <f t="shared" si="1"/>
        <v/>
      </c>
      <c r="K107" s="20" t="str">
        <f>IF(G107="","",IF(COUNTIF('01_rules'!$A$2:$A$39,G107)=0,"rule 없음",""))</f>
        <v/>
      </c>
      <c r="L107" s="20" t="str">
        <f>IF(G107="","",IF(ISNUMBER(SEARCH(G107,IFERROR(VLOOKUP(C107,'03_units'!$B$2:$F$21,5,FALSE()),""))),"","unit 불일치"))</f>
        <v/>
      </c>
    </row>
    <row r="108" spans="1:12" ht="15" customHeight="1">
      <c r="A108" s="17" t="s">
        <v>894</v>
      </c>
      <c r="B108" s="17">
        <v>4</v>
      </c>
      <c r="C108" s="17" t="s">
        <v>156</v>
      </c>
      <c r="D108" s="17" t="s">
        <v>895</v>
      </c>
      <c r="E108" s="18" t="s">
        <v>896</v>
      </c>
      <c r="F108" s="18" t="s">
        <v>158</v>
      </c>
      <c r="G108" s="17" t="s">
        <v>154</v>
      </c>
      <c r="H108" s="19" t="s">
        <v>95</v>
      </c>
      <c r="I108" s="19"/>
      <c r="J108" s="20" t="str">
        <f t="shared" si="1"/>
        <v/>
      </c>
      <c r="K108" s="20" t="str">
        <f>IF(G108="","",IF(COUNTIF('01_rules'!$A$2:$A$39,G108)=0,"rule 없음",""))</f>
        <v/>
      </c>
      <c r="L108" s="20" t="str">
        <f>IF(G108="","",IF(ISNUMBER(SEARCH(G108,IFERROR(VLOOKUP(C108,'03_units'!$B$2:$F$21,5,FALSE()),""))),"","unit 불일치"))</f>
        <v/>
      </c>
    </row>
    <row r="109" spans="1:12" ht="15" customHeight="1">
      <c r="A109" s="17" t="s">
        <v>897</v>
      </c>
      <c r="B109" s="17">
        <v>4</v>
      </c>
      <c r="C109" s="17" t="s">
        <v>156</v>
      </c>
      <c r="D109" s="17" t="s">
        <v>898</v>
      </c>
      <c r="E109" s="18" t="s">
        <v>899</v>
      </c>
      <c r="F109" s="18" t="s">
        <v>158</v>
      </c>
      <c r="G109" s="17" t="s">
        <v>154</v>
      </c>
      <c r="H109" s="19" t="s">
        <v>95</v>
      </c>
      <c r="I109" s="19"/>
      <c r="J109" s="20" t="str">
        <f t="shared" si="1"/>
        <v/>
      </c>
      <c r="K109" s="20" t="str">
        <f>IF(G109="","",IF(COUNTIF('01_rules'!$A$2:$A$39,G109)=0,"rule 없음",""))</f>
        <v/>
      </c>
      <c r="L109" s="20" t="str">
        <f>IF(G109="","",IF(ISNUMBER(SEARCH(G109,IFERROR(VLOOKUP(C109,'03_units'!$B$2:$F$21,5,FALSE()),""))),"","unit 불일치"))</f>
        <v/>
      </c>
    </row>
    <row r="110" spans="1:12" ht="15" customHeight="1">
      <c r="A110" s="17" t="s">
        <v>900</v>
      </c>
      <c r="B110" s="17">
        <v>4</v>
      </c>
      <c r="C110" s="17" t="s">
        <v>156</v>
      </c>
      <c r="D110" s="17" t="s">
        <v>901</v>
      </c>
      <c r="E110" s="18" t="s">
        <v>902</v>
      </c>
      <c r="F110" s="18" t="s">
        <v>158</v>
      </c>
      <c r="G110" s="17" t="s">
        <v>154</v>
      </c>
      <c r="H110" s="19" t="s">
        <v>95</v>
      </c>
      <c r="I110" s="19"/>
      <c r="J110" s="20" t="str">
        <f t="shared" si="1"/>
        <v/>
      </c>
      <c r="K110" s="20" t="str">
        <f>IF(G110="","",IF(COUNTIF('01_rules'!$A$2:$A$39,G110)=0,"rule 없음",""))</f>
        <v/>
      </c>
      <c r="L110" s="20" t="str">
        <f>IF(G110="","",IF(ISNUMBER(SEARCH(G110,IFERROR(VLOOKUP(C110,'03_units'!$B$2:$F$21,5,FALSE()),""))),"","unit 불일치"))</f>
        <v/>
      </c>
    </row>
    <row r="111" spans="1:12" ht="15" customHeight="1">
      <c r="A111" s="17" t="s">
        <v>903</v>
      </c>
      <c r="B111" s="17">
        <v>4</v>
      </c>
      <c r="C111" s="17" t="s">
        <v>156</v>
      </c>
      <c r="D111" s="17" t="s">
        <v>904</v>
      </c>
      <c r="E111" s="18" t="s">
        <v>905</v>
      </c>
      <c r="F111" s="18" t="s">
        <v>158</v>
      </c>
      <c r="G111" s="17" t="s">
        <v>154</v>
      </c>
      <c r="H111" s="19" t="s">
        <v>95</v>
      </c>
      <c r="I111" s="19"/>
      <c r="J111" s="20" t="str">
        <f t="shared" si="1"/>
        <v/>
      </c>
      <c r="K111" s="20" t="str">
        <f>IF(G111="","",IF(COUNTIF('01_rules'!$A$2:$A$39,G111)=0,"rule 없음",""))</f>
        <v/>
      </c>
      <c r="L111" s="20" t="str">
        <f>IF(G111="","",IF(ISNUMBER(SEARCH(G111,IFERROR(VLOOKUP(C111,'03_units'!$B$2:$F$21,5,FALSE()),""))),"","unit 불일치"))</f>
        <v/>
      </c>
    </row>
    <row r="112" spans="1:12" ht="15" customHeight="1">
      <c r="A112" s="17" t="s">
        <v>906</v>
      </c>
      <c r="B112" s="17">
        <v>5</v>
      </c>
      <c r="C112" s="17" t="s">
        <v>156</v>
      </c>
      <c r="D112" s="17" t="s">
        <v>907</v>
      </c>
      <c r="E112" s="18" t="s">
        <v>908</v>
      </c>
      <c r="F112" s="18" t="s">
        <v>336</v>
      </c>
      <c r="G112" s="17" t="s">
        <v>334</v>
      </c>
      <c r="H112" s="19" t="s">
        <v>95</v>
      </c>
      <c r="I112" s="19"/>
      <c r="J112" s="20" t="str">
        <f t="shared" si="1"/>
        <v/>
      </c>
      <c r="K112" s="20" t="str">
        <f>IF(G112="","",IF(COUNTIF('01_rules'!$A$2:$A$39,G112)=0,"rule 없음",""))</f>
        <v/>
      </c>
      <c r="L112" s="20" t="str">
        <f>IF(G112="","",IF(ISNUMBER(SEARCH(G112,IFERROR(VLOOKUP(C112,'03_units'!$B$2:$F$21,5,FALSE()),""))),"","unit 불일치"))</f>
        <v/>
      </c>
    </row>
    <row r="113" spans="1:12" ht="15" customHeight="1">
      <c r="A113" s="17" t="s">
        <v>909</v>
      </c>
      <c r="B113" s="17">
        <v>5</v>
      </c>
      <c r="C113" s="17" t="s">
        <v>156</v>
      </c>
      <c r="D113" s="17" t="s">
        <v>910</v>
      </c>
      <c r="E113" s="18" t="s">
        <v>911</v>
      </c>
      <c r="F113" s="18" t="s">
        <v>336</v>
      </c>
      <c r="G113" s="17" t="s">
        <v>334</v>
      </c>
      <c r="H113" s="19" t="s">
        <v>95</v>
      </c>
      <c r="I113" s="19"/>
      <c r="J113" s="20" t="str">
        <f t="shared" si="1"/>
        <v/>
      </c>
      <c r="K113" s="20" t="str">
        <f>IF(G113="","",IF(COUNTIF('01_rules'!$A$2:$A$39,G113)=0,"rule 없음",""))</f>
        <v/>
      </c>
      <c r="L113" s="20" t="str">
        <f>IF(G113="","",IF(ISNUMBER(SEARCH(G113,IFERROR(VLOOKUP(C113,'03_units'!$B$2:$F$21,5,FALSE()),""))),"","unit 불일치"))</f>
        <v/>
      </c>
    </row>
    <row r="114" spans="1:12" ht="15" customHeight="1">
      <c r="A114" s="17" t="s">
        <v>912</v>
      </c>
      <c r="B114" s="17">
        <v>5</v>
      </c>
      <c r="C114" s="17" t="s">
        <v>156</v>
      </c>
      <c r="D114" s="17" t="s">
        <v>913</v>
      </c>
      <c r="E114" s="18" t="s">
        <v>914</v>
      </c>
      <c r="F114" s="18" t="s">
        <v>336</v>
      </c>
      <c r="G114" s="17" t="s">
        <v>334</v>
      </c>
      <c r="H114" s="19" t="s">
        <v>95</v>
      </c>
      <c r="I114" s="19"/>
      <c r="J114" s="20" t="str">
        <f t="shared" si="1"/>
        <v/>
      </c>
      <c r="K114" s="20" t="str">
        <f>IF(G114="","",IF(COUNTIF('01_rules'!$A$2:$A$39,G114)=0,"rule 없음",""))</f>
        <v/>
      </c>
      <c r="L114" s="20" t="str">
        <f>IF(G114="","",IF(ISNUMBER(SEARCH(G114,IFERROR(VLOOKUP(C114,'03_units'!$B$2:$F$21,5,FALSE()),""))),"","unit 불일치"))</f>
        <v/>
      </c>
    </row>
    <row r="115" spans="1:12" ht="15" customHeight="1">
      <c r="A115" s="17" t="s">
        <v>915</v>
      </c>
      <c r="B115" s="17">
        <v>5</v>
      </c>
      <c r="C115" s="17" t="s">
        <v>156</v>
      </c>
      <c r="D115" s="17" t="s">
        <v>916</v>
      </c>
      <c r="E115" s="18" t="s">
        <v>917</v>
      </c>
      <c r="F115" s="18" t="s">
        <v>91</v>
      </c>
      <c r="G115" s="17" t="s">
        <v>87</v>
      </c>
      <c r="H115" s="19" t="s">
        <v>95</v>
      </c>
      <c r="I115" s="19"/>
      <c r="J115" s="20" t="str">
        <f t="shared" si="1"/>
        <v/>
      </c>
      <c r="K115" s="20" t="str">
        <f>IF(G115="","",IF(COUNTIF('01_rules'!$A$2:$A$39,G115)=0,"rule 없음",""))</f>
        <v/>
      </c>
      <c r="L115" s="20" t="str">
        <f>IF(G115="","",IF(ISNUMBER(SEARCH(G115,IFERROR(VLOOKUP(C115,'03_units'!$B$2:$F$21,5,FALSE()),""))),"","unit 불일치"))</f>
        <v/>
      </c>
    </row>
    <row r="116" spans="1:12" ht="15" customHeight="1">
      <c r="A116" s="17" t="s">
        <v>918</v>
      </c>
      <c r="B116" s="17">
        <v>5</v>
      </c>
      <c r="C116" s="17" t="s">
        <v>156</v>
      </c>
      <c r="D116" s="17" t="s">
        <v>919</v>
      </c>
      <c r="E116" s="18" t="s">
        <v>920</v>
      </c>
      <c r="F116" s="18" t="s">
        <v>91</v>
      </c>
      <c r="G116" s="17" t="s">
        <v>87</v>
      </c>
      <c r="H116" s="19" t="s">
        <v>95</v>
      </c>
      <c r="I116" s="19"/>
      <c r="J116" s="20" t="str">
        <f t="shared" si="1"/>
        <v/>
      </c>
      <c r="K116" s="20" t="str">
        <f>IF(G116="","",IF(COUNTIF('01_rules'!$A$2:$A$39,G116)=0,"rule 없음",""))</f>
        <v/>
      </c>
      <c r="L116" s="20" t="str">
        <f>IF(G116="","",IF(ISNUMBER(SEARCH(G116,IFERROR(VLOOKUP(C116,'03_units'!$B$2:$F$21,5,FALSE()),""))),"","unit 불일치"))</f>
        <v/>
      </c>
    </row>
    <row r="117" spans="1:12" ht="15" customHeight="1">
      <c r="A117" s="17" t="s">
        <v>921</v>
      </c>
      <c r="B117" s="17">
        <v>6</v>
      </c>
      <c r="C117" s="17" t="s">
        <v>156</v>
      </c>
      <c r="D117" s="17" t="s">
        <v>922</v>
      </c>
      <c r="E117" s="18" t="s">
        <v>923</v>
      </c>
      <c r="F117" s="18" t="s">
        <v>336</v>
      </c>
      <c r="G117" s="17" t="s">
        <v>334</v>
      </c>
      <c r="H117" s="19" t="s">
        <v>95</v>
      </c>
      <c r="I117" s="19"/>
      <c r="J117" s="20" t="str">
        <f t="shared" si="1"/>
        <v/>
      </c>
      <c r="K117" s="20" t="str">
        <f>IF(G117="","",IF(COUNTIF('01_rules'!$A$2:$A$39,G117)=0,"rule 없음",""))</f>
        <v/>
      </c>
      <c r="L117" s="20" t="str">
        <f>IF(G117="","",IF(ISNUMBER(SEARCH(G117,IFERROR(VLOOKUP(C117,'03_units'!$B$2:$F$21,5,FALSE()),""))),"","unit 불일치"))</f>
        <v/>
      </c>
    </row>
    <row r="118" spans="1:12" ht="15" customHeight="1">
      <c r="A118" s="17" t="s">
        <v>924</v>
      </c>
      <c r="B118" s="17">
        <v>6</v>
      </c>
      <c r="C118" s="17" t="s">
        <v>156</v>
      </c>
      <c r="D118" s="17" t="s">
        <v>925</v>
      </c>
      <c r="E118" s="18" t="s">
        <v>926</v>
      </c>
      <c r="F118" s="18" t="s">
        <v>336</v>
      </c>
      <c r="G118" s="17" t="s">
        <v>334</v>
      </c>
      <c r="H118" s="19" t="s">
        <v>95</v>
      </c>
      <c r="I118" s="19"/>
      <c r="J118" s="20" t="str">
        <f t="shared" si="1"/>
        <v/>
      </c>
      <c r="K118" s="20" t="str">
        <f>IF(G118="","",IF(COUNTIF('01_rules'!$A$2:$A$39,G118)=0,"rule 없음",""))</f>
        <v/>
      </c>
      <c r="L118" s="20" t="str">
        <f>IF(G118="","",IF(ISNUMBER(SEARCH(G118,IFERROR(VLOOKUP(C118,'03_units'!$B$2:$F$21,5,FALSE()),""))),"","unit 불일치"))</f>
        <v/>
      </c>
    </row>
    <row r="119" spans="1:12" ht="15" customHeight="1">
      <c r="A119" s="17" t="s">
        <v>927</v>
      </c>
      <c r="B119" s="17">
        <v>6</v>
      </c>
      <c r="C119" s="17" t="s">
        <v>156</v>
      </c>
      <c r="D119" s="17" t="s">
        <v>928</v>
      </c>
      <c r="E119" s="18" t="s">
        <v>929</v>
      </c>
      <c r="F119" s="18" t="s">
        <v>91</v>
      </c>
      <c r="G119" s="17" t="s">
        <v>87</v>
      </c>
      <c r="H119" s="19" t="s">
        <v>95</v>
      </c>
      <c r="I119" s="19"/>
      <c r="J119" s="20" t="str">
        <f t="shared" si="1"/>
        <v/>
      </c>
      <c r="K119" s="20" t="str">
        <f>IF(G119="","",IF(COUNTIF('01_rules'!$A$2:$A$39,G119)=0,"rule 없음",""))</f>
        <v/>
      </c>
      <c r="L119" s="20" t="str">
        <f>IF(G119="","",IF(ISNUMBER(SEARCH(G119,IFERROR(VLOOKUP(C119,'03_units'!$B$2:$F$21,5,FALSE()),""))),"","unit 불일치"))</f>
        <v/>
      </c>
    </row>
    <row r="120" spans="1:12" ht="15" customHeight="1">
      <c r="A120" s="17" t="s">
        <v>930</v>
      </c>
      <c r="B120" s="17">
        <v>6</v>
      </c>
      <c r="C120" s="17" t="s">
        <v>156</v>
      </c>
      <c r="D120" s="17" t="s">
        <v>931</v>
      </c>
      <c r="E120" s="18" t="s">
        <v>932</v>
      </c>
      <c r="F120" s="18" t="s">
        <v>91</v>
      </c>
      <c r="G120" s="17" t="s">
        <v>87</v>
      </c>
      <c r="H120" s="19" t="s">
        <v>95</v>
      </c>
      <c r="I120" s="19"/>
      <c r="J120" s="20" t="str">
        <f t="shared" si="1"/>
        <v/>
      </c>
      <c r="K120" s="20" t="str">
        <f>IF(G120="","",IF(COUNTIF('01_rules'!$A$2:$A$39,G120)=0,"rule 없음",""))</f>
        <v/>
      </c>
      <c r="L120" s="20" t="str">
        <f>IF(G120="","",IF(ISNUMBER(SEARCH(G120,IFERROR(VLOOKUP(C120,'03_units'!$B$2:$F$21,5,FALSE()),""))),"","unit 불일치"))</f>
        <v/>
      </c>
    </row>
    <row r="121" spans="1:12" ht="15" customHeight="1">
      <c r="A121" s="17" t="s">
        <v>933</v>
      </c>
      <c r="B121" s="17">
        <v>6</v>
      </c>
      <c r="C121" s="17" t="s">
        <v>156</v>
      </c>
      <c r="D121" s="17" t="s">
        <v>934</v>
      </c>
      <c r="E121" s="18" t="s">
        <v>935</v>
      </c>
      <c r="F121" s="18" t="s">
        <v>301</v>
      </c>
      <c r="G121" s="17" t="s">
        <v>297</v>
      </c>
      <c r="H121" s="19" t="s">
        <v>95</v>
      </c>
      <c r="I121" s="19"/>
      <c r="J121" s="20" t="str">
        <f t="shared" si="1"/>
        <v/>
      </c>
      <c r="K121" s="20" t="str">
        <f>IF(G121="","",IF(COUNTIF('01_rules'!$A$2:$A$39,G121)=0,"rule 없음",""))</f>
        <v/>
      </c>
      <c r="L121" s="20" t="str">
        <f>IF(G121="","",IF(ISNUMBER(SEARCH(G121,IFERROR(VLOOKUP(C121,'03_units'!$B$2:$F$21,5,FALSE()),""))),"","unit 불일치"))</f>
        <v/>
      </c>
    </row>
    <row r="122" spans="1:12" ht="15" customHeight="1">
      <c r="A122" s="17" t="s">
        <v>936</v>
      </c>
      <c r="B122" s="17">
        <v>3</v>
      </c>
      <c r="C122" s="17" t="s">
        <v>163</v>
      </c>
      <c r="D122" s="17" t="s">
        <v>937</v>
      </c>
      <c r="E122" s="18" t="s">
        <v>818</v>
      </c>
      <c r="F122" s="18" t="s">
        <v>165</v>
      </c>
      <c r="G122" s="17" t="s">
        <v>161</v>
      </c>
      <c r="H122" s="19" t="s">
        <v>95</v>
      </c>
      <c r="I122" s="19"/>
      <c r="J122" s="20" t="str">
        <f t="shared" si="1"/>
        <v/>
      </c>
      <c r="K122" s="20" t="str">
        <f>IF(G122="","",IF(COUNTIF('01_rules'!$A$2:$A$39,G122)=0,"rule 없음",""))</f>
        <v/>
      </c>
      <c r="L122" s="20" t="str">
        <f>IF(G122="","",IF(ISNUMBER(SEARCH(G122,IFERROR(VLOOKUP(C122,'03_units'!$B$2:$F$21,5,FALSE()),""))),"","unit 불일치"))</f>
        <v/>
      </c>
    </row>
    <row r="123" spans="1:12" ht="15" customHeight="1">
      <c r="A123" s="17" t="s">
        <v>938</v>
      </c>
      <c r="B123" s="17">
        <v>3</v>
      </c>
      <c r="C123" s="17" t="s">
        <v>163</v>
      </c>
      <c r="D123" s="17" t="s">
        <v>939</v>
      </c>
      <c r="E123" s="18" t="s">
        <v>940</v>
      </c>
      <c r="F123" s="18" t="s">
        <v>165</v>
      </c>
      <c r="G123" s="17" t="s">
        <v>161</v>
      </c>
      <c r="H123" s="19" t="s">
        <v>95</v>
      </c>
      <c r="I123" s="19"/>
      <c r="J123" s="20" t="str">
        <f t="shared" si="1"/>
        <v/>
      </c>
      <c r="K123" s="20" t="str">
        <f>IF(G123="","",IF(COUNTIF('01_rules'!$A$2:$A$39,G123)=0,"rule 없음",""))</f>
        <v/>
      </c>
      <c r="L123" s="20" t="str">
        <f>IF(G123="","",IF(ISNUMBER(SEARCH(G123,IFERROR(VLOOKUP(C123,'03_units'!$B$2:$F$21,5,FALSE()),""))),"","unit 불일치"))</f>
        <v/>
      </c>
    </row>
    <row r="124" spans="1:12" ht="15" customHeight="1">
      <c r="A124" s="17" t="s">
        <v>941</v>
      </c>
      <c r="B124" s="17">
        <v>3</v>
      </c>
      <c r="C124" s="17" t="s">
        <v>163</v>
      </c>
      <c r="D124" s="17" t="s">
        <v>942</v>
      </c>
      <c r="E124" s="18" t="s">
        <v>943</v>
      </c>
      <c r="F124" s="18" t="s">
        <v>165</v>
      </c>
      <c r="G124" s="17" t="s">
        <v>161</v>
      </c>
      <c r="H124" s="19" t="s">
        <v>95</v>
      </c>
      <c r="I124" s="19"/>
      <c r="J124" s="20" t="str">
        <f t="shared" si="1"/>
        <v/>
      </c>
      <c r="K124" s="20" t="str">
        <f>IF(G124="","",IF(COUNTIF('01_rules'!$A$2:$A$39,G124)=0,"rule 없음",""))</f>
        <v/>
      </c>
      <c r="L124" s="20" t="str">
        <f>IF(G124="","",IF(ISNUMBER(SEARCH(G124,IFERROR(VLOOKUP(C124,'03_units'!$B$2:$F$21,5,FALSE()),""))),"","unit 불일치"))</f>
        <v/>
      </c>
    </row>
    <row r="125" spans="1:12" ht="15" customHeight="1">
      <c r="A125" s="17" t="s">
        <v>944</v>
      </c>
      <c r="B125" s="17">
        <v>3</v>
      </c>
      <c r="C125" s="17" t="s">
        <v>163</v>
      </c>
      <c r="D125" s="17" t="s">
        <v>945</v>
      </c>
      <c r="E125" s="18" t="s">
        <v>946</v>
      </c>
      <c r="F125" s="18" t="s">
        <v>165</v>
      </c>
      <c r="G125" s="17" t="s">
        <v>161</v>
      </c>
      <c r="H125" s="19" t="s">
        <v>95</v>
      </c>
      <c r="I125" s="19"/>
      <c r="J125" s="20" t="str">
        <f t="shared" si="1"/>
        <v/>
      </c>
      <c r="K125" s="20" t="str">
        <f>IF(G125="","",IF(COUNTIF('01_rules'!$A$2:$A$39,G125)=0,"rule 없음",""))</f>
        <v/>
      </c>
      <c r="L125" s="20" t="str">
        <f>IF(G125="","",IF(ISNUMBER(SEARCH(G125,IFERROR(VLOOKUP(C125,'03_units'!$B$2:$F$21,5,FALSE()),""))),"","unit 불일치"))</f>
        <v/>
      </c>
    </row>
    <row r="126" spans="1:12" ht="15" customHeight="1">
      <c r="A126" s="17" t="s">
        <v>947</v>
      </c>
      <c r="B126" s="17">
        <v>3</v>
      </c>
      <c r="C126" s="17" t="s">
        <v>163</v>
      </c>
      <c r="D126" s="17" t="s">
        <v>948</v>
      </c>
      <c r="E126" s="18" t="s">
        <v>949</v>
      </c>
      <c r="F126" s="18" t="s">
        <v>165</v>
      </c>
      <c r="G126" s="17" t="s">
        <v>161</v>
      </c>
      <c r="H126" s="19" t="s">
        <v>95</v>
      </c>
      <c r="I126" s="19"/>
      <c r="J126" s="20" t="str">
        <f t="shared" si="1"/>
        <v/>
      </c>
      <c r="K126" s="20" t="str">
        <f>IF(G126="","",IF(COUNTIF('01_rules'!$A$2:$A$39,G126)=0,"rule 없음",""))</f>
        <v/>
      </c>
      <c r="L126" s="20" t="str">
        <f>IF(G126="","",IF(ISNUMBER(SEARCH(G126,IFERROR(VLOOKUP(C126,'03_units'!$B$2:$F$21,5,FALSE()),""))),"","unit 불일치"))</f>
        <v/>
      </c>
    </row>
    <row r="127" spans="1:12" ht="15" customHeight="1">
      <c r="A127" s="17" t="s">
        <v>950</v>
      </c>
      <c r="B127" s="17">
        <v>4</v>
      </c>
      <c r="C127" s="17" t="s">
        <v>163</v>
      </c>
      <c r="D127" s="17" t="s">
        <v>951</v>
      </c>
      <c r="E127" s="18" t="s">
        <v>952</v>
      </c>
      <c r="F127" s="18" t="s">
        <v>165</v>
      </c>
      <c r="G127" s="17" t="s">
        <v>161</v>
      </c>
      <c r="H127" s="19" t="s">
        <v>95</v>
      </c>
      <c r="I127" s="19"/>
      <c r="J127" s="20" t="str">
        <f t="shared" si="1"/>
        <v/>
      </c>
      <c r="K127" s="20" t="str">
        <f>IF(G127="","",IF(COUNTIF('01_rules'!$A$2:$A$39,G127)=0,"rule 없음",""))</f>
        <v/>
      </c>
      <c r="L127" s="20" t="str">
        <f>IF(G127="","",IF(ISNUMBER(SEARCH(G127,IFERROR(VLOOKUP(C127,'03_units'!$B$2:$F$21,5,FALSE()),""))),"","unit 불일치"))</f>
        <v/>
      </c>
    </row>
    <row r="128" spans="1:12" ht="29.25" customHeight="1">
      <c r="A128" s="17" t="s">
        <v>953</v>
      </c>
      <c r="B128" s="17">
        <v>4</v>
      </c>
      <c r="C128" s="17" t="s">
        <v>163</v>
      </c>
      <c r="D128" s="17" t="s">
        <v>954</v>
      </c>
      <c r="E128" s="18" t="s">
        <v>955</v>
      </c>
      <c r="F128" s="18" t="s">
        <v>165</v>
      </c>
      <c r="G128" s="17" t="s">
        <v>161</v>
      </c>
      <c r="H128" s="19" t="s">
        <v>95</v>
      </c>
      <c r="I128" s="19"/>
      <c r="J128" s="20" t="str">
        <f t="shared" si="1"/>
        <v/>
      </c>
      <c r="K128" s="20" t="str">
        <f>IF(G128="","",IF(COUNTIF('01_rules'!$A$2:$A$39,G128)=0,"rule 없음",""))</f>
        <v/>
      </c>
      <c r="L128" s="20" t="str">
        <f>IF(G128="","",IF(ISNUMBER(SEARCH(G128,IFERROR(VLOOKUP(C128,'03_units'!$B$2:$F$21,5,FALSE()),""))),"","unit 불일치"))</f>
        <v/>
      </c>
    </row>
    <row r="129" spans="1:12" ht="15" customHeight="1">
      <c r="A129" s="17" t="s">
        <v>956</v>
      </c>
      <c r="B129" s="17">
        <v>4</v>
      </c>
      <c r="C129" s="17" t="s">
        <v>163</v>
      </c>
      <c r="D129" s="17" t="s">
        <v>957</v>
      </c>
      <c r="E129" s="18" t="s">
        <v>958</v>
      </c>
      <c r="F129" s="18" t="s">
        <v>165</v>
      </c>
      <c r="G129" s="17" t="s">
        <v>161</v>
      </c>
      <c r="H129" s="19" t="s">
        <v>95</v>
      </c>
      <c r="I129" s="19"/>
      <c r="J129" s="20" t="str">
        <f t="shared" si="1"/>
        <v/>
      </c>
      <c r="K129" s="20" t="str">
        <f>IF(G129="","",IF(COUNTIF('01_rules'!$A$2:$A$39,G129)=0,"rule 없음",""))</f>
        <v/>
      </c>
      <c r="L129" s="20" t="str">
        <f>IF(G129="","",IF(ISNUMBER(SEARCH(G129,IFERROR(VLOOKUP(C129,'03_units'!$B$2:$F$21,5,FALSE()),""))),"","unit 불일치"))</f>
        <v/>
      </c>
    </row>
    <row r="130" spans="1:12" ht="15" customHeight="1">
      <c r="A130" s="17" t="s">
        <v>959</v>
      </c>
      <c r="B130" s="17">
        <v>4</v>
      </c>
      <c r="C130" s="17" t="s">
        <v>163</v>
      </c>
      <c r="D130" s="17" t="s">
        <v>960</v>
      </c>
      <c r="E130" s="18" t="s">
        <v>961</v>
      </c>
      <c r="F130" s="18" t="s">
        <v>165</v>
      </c>
      <c r="G130" s="17" t="s">
        <v>161</v>
      </c>
      <c r="H130" s="19" t="s">
        <v>95</v>
      </c>
      <c r="I130" s="19"/>
      <c r="J130" s="20" t="str">
        <f t="shared" ref="J130:J193" si="2">IF(A130="","",IF(COUNTIF($A$2:$A$401,A130)&gt;1,"중복",""))</f>
        <v/>
      </c>
      <c r="K130" s="20" t="str">
        <f>IF(G130="","",IF(COUNTIF('01_rules'!$A$2:$A$39,G130)=0,"rule 없음",""))</f>
        <v/>
      </c>
      <c r="L130" s="20" t="str">
        <f>IF(G130="","",IF(ISNUMBER(SEARCH(G130,IFERROR(VLOOKUP(C130,'03_units'!$B$2:$F$21,5,FALSE()),""))),"","unit 불일치"))</f>
        <v/>
      </c>
    </row>
    <row r="131" spans="1:12" ht="15" customHeight="1">
      <c r="A131" s="17" t="s">
        <v>962</v>
      </c>
      <c r="B131" s="17">
        <v>4</v>
      </c>
      <c r="C131" s="17" t="s">
        <v>163</v>
      </c>
      <c r="D131" s="17" t="s">
        <v>963</v>
      </c>
      <c r="E131" s="18" t="s">
        <v>964</v>
      </c>
      <c r="F131" s="18" t="s">
        <v>165</v>
      </c>
      <c r="G131" s="17" t="s">
        <v>161</v>
      </c>
      <c r="H131" s="19" t="s">
        <v>95</v>
      </c>
      <c r="I131" s="19"/>
      <c r="J131" s="20" t="str">
        <f t="shared" si="2"/>
        <v/>
      </c>
      <c r="K131" s="20" t="str">
        <f>IF(G131="","",IF(COUNTIF('01_rules'!$A$2:$A$39,G131)=0,"rule 없음",""))</f>
        <v/>
      </c>
      <c r="L131" s="20" t="str">
        <f>IF(G131="","",IF(ISNUMBER(SEARCH(G131,IFERROR(VLOOKUP(C131,'03_units'!$B$2:$F$21,5,FALSE()),""))),"","unit 불일치"))</f>
        <v/>
      </c>
    </row>
    <row r="132" spans="1:12" ht="15" customHeight="1">
      <c r="A132" s="17" t="s">
        <v>965</v>
      </c>
      <c r="B132" s="17">
        <v>5</v>
      </c>
      <c r="C132" s="17" t="s">
        <v>163</v>
      </c>
      <c r="D132" s="17" t="s">
        <v>966</v>
      </c>
      <c r="E132" s="18" t="s">
        <v>967</v>
      </c>
      <c r="F132" s="18" t="s">
        <v>165</v>
      </c>
      <c r="G132" s="17" t="s">
        <v>161</v>
      </c>
      <c r="H132" s="19" t="s">
        <v>95</v>
      </c>
      <c r="I132" s="19"/>
      <c r="J132" s="20" t="str">
        <f t="shared" si="2"/>
        <v/>
      </c>
      <c r="K132" s="20" t="str">
        <f>IF(G132="","",IF(COUNTIF('01_rules'!$A$2:$A$39,G132)=0,"rule 없음",""))</f>
        <v/>
      </c>
      <c r="L132" s="20" t="str">
        <f>IF(G132="","",IF(ISNUMBER(SEARCH(G132,IFERROR(VLOOKUP(C132,'03_units'!$B$2:$F$21,5,FALSE()),""))),"","unit 불일치"))</f>
        <v/>
      </c>
    </row>
    <row r="133" spans="1:12" ht="15" customHeight="1">
      <c r="A133" s="17" t="s">
        <v>968</v>
      </c>
      <c r="B133" s="17">
        <v>5</v>
      </c>
      <c r="C133" s="17" t="s">
        <v>163</v>
      </c>
      <c r="D133" s="17" t="s">
        <v>969</v>
      </c>
      <c r="E133" s="18" t="s">
        <v>970</v>
      </c>
      <c r="F133" s="18" t="s">
        <v>165</v>
      </c>
      <c r="G133" s="17" t="s">
        <v>161</v>
      </c>
      <c r="H133" s="19" t="s">
        <v>95</v>
      </c>
      <c r="I133" s="19"/>
      <c r="J133" s="20" t="str">
        <f t="shared" si="2"/>
        <v/>
      </c>
      <c r="K133" s="20" t="str">
        <f>IF(G133="","",IF(COUNTIF('01_rules'!$A$2:$A$39,G133)=0,"rule 없음",""))</f>
        <v/>
      </c>
      <c r="L133" s="20" t="str">
        <f>IF(G133="","",IF(ISNUMBER(SEARCH(G133,IFERROR(VLOOKUP(C133,'03_units'!$B$2:$F$21,5,FALSE()),""))),"","unit 불일치"))</f>
        <v/>
      </c>
    </row>
    <row r="134" spans="1:12" ht="15" customHeight="1">
      <c r="A134" s="17" t="s">
        <v>971</v>
      </c>
      <c r="B134" s="17">
        <v>5</v>
      </c>
      <c r="C134" s="17" t="s">
        <v>163</v>
      </c>
      <c r="D134" s="17" t="s">
        <v>972</v>
      </c>
      <c r="E134" s="18" t="s">
        <v>973</v>
      </c>
      <c r="F134" s="18" t="s">
        <v>165</v>
      </c>
      <c r="G134" s="17" t="s">
        <v>161</v>
      </c>
      <c r="H134" s="19" t="s">
        <v>95</v>
      </c>
      <c r="I134" s="19"/>
      <c r="J134" s="20" t="str">
        <f t="shared" si="2"/>
        <v/>
      </c>
      <c r="K134" s="20" t="str">
        <f>IF(G134="","",IF(COUNTIF('01_rules'!$A$2:$A$39,G134)=0,"rule 없음",""))</f>
        <v/>
      </c>
      <c r="L134" s="20" t="str">
        <f>IF(G134="","",IF(ISNUMBER(SEARCH(G134,IFERROR(VLOOKUP(C134,'03_units'!$B$2:$F$21,5,FALSE()),""))),"","unit 불일치"))</f>
        <v/>
      </c>
    </row>
    <row r="135" spans="1:12" ht="15" customHeight="1">
      <c r="A135" s="17" t="s">
        <v>974</v>
      </c>
      <c r="B135" s="17">
        <v>5</v>
      </c>
      <c r="C135" s="17" t="s">
        <v>163</v>
      </c>
      <c r="D135" s="17" t="s">
        <v>975</v>
      </c>
      <c r="E135" s="18" t="s">
        <v>976</v>
      </c>
      <c r="F135" s="18" t="s">
        <v>171</v>
      </c>
      <c r="G135" s="17" t="s">
        <v>168</v>
      </c>
      <c r="H135" s="19" t="s">
        <v>95</v>
      </c>
      <c r="I135" s="19"/>
      <c r="J135" s="20" t="str">
        <f t="shared" si="2"/>
        <v/>
      </c>
      <c r="K135" s="20" t="str">
        <f>IF(G135="","",IF(COUNTIF('01_rules'!$A$2:$A$39,G135)=0,"rule 없음",""))</f>
        <v/>
      </c>
      <c r="L135" s="20" t="str">
        <f>IF(G135="","",IF(ISNUMBER(SEARCH(G135,IFERROR(VLOOKUP(C135,'03_units'!$B$2:$F$21,5,FALSE()),""))),"","unit 불일치"))</f>
        <v/>
      </c>
    </row>
    <row r="136" spans="1:12" ht="15" customHeight="1">
      <c r="A136" s="17" t="s">
        <v>977</v>
      </c>
      <c r="B136" s="17">
        <v>5</v>
      </c>
      <c r="C136" s="17" t="s">
        <v>163</v>
      </c>
      <c r="D136" s="17" t="s">
        <v>978</v>
      </c>
      <c r="E136" s="18" t="s">
        <v>979</v>
      </c>
      <c r="F136" s="18" t="s">
        <v>171</v>
      </c>
      <c r="G136" s="17" t="s">
        <v>168</v>
      </c>
      <c r="H136" s="19" t="s">
        <v>95</v>
      </c>
      <c r="I136" s="19"/>
      <c r="J136" s="20" t="str">
        <f t="shared" si="2"/>
        <v/>
      </c>
      <c r="K136" s="20" t="str">
        <f>IF(G136="","",IF(COUNTIF('01_rules'!$A$2:$A$39,G136)=0,"rule 없음",""))</f>
        <v/>
      </c>
      <c r="L136" s="20" t="str">
        <f>IF(G136="","",IF(ISNUMBER(SEARCH(G136,IFERROR(VLOOKUP(C136,'03_units'!$B$2:$F$21,5,FALSE()),""))),"","unit 불일치"))</f>
        <v/>
      </c>
    </row>
    <row r="137" spans="1:12" ht="15" customHeight="1">
      <c r="A137" s="17" t="s">
        <v>980</v>
      </c>
      <c r="B137" s="17">
        <v>6</v>
      </c>
      <c r="C137" s="17" t="s">
        <v>163</v>
      </c>
      <c r="D137" s="17" t="s">
        <v>981</v>
      </c>
      <c r="E137" s="18" t="s">
        <v>982</v>
      </c>
      <c r="F137" s="18" t="s">
        <v>336</v>
      </c>
      <c r="G137" s="17" t="s">
        <v>334</v>
      </c>
      <c r="H137" s="19" t="s">
        <v>95</v>
      </c>
      <c r="I137" s="19"/>
      <c r="J137" s="20" t="str">
        <f t="shared" si="2"/>
        <v/>
      </c>
      <c r="K137" s="20" t="str">
        <f>IF(G137="","",IF(COUNTIF('01_rules'!$A$2:$A$39,G137)=0,"rule 없음",""))</f>
        <v/>
      </c>
      <c r="L137" s="20" t="str">
        <f>IF(G137="","",IF(ISNUMBER(SEARCH(G137,IFERROR(VLOOKUP(C137,'03_units'!$B$2:$F$21,5,FALSE()),""))),"","unit 불일치"))</f>
        <v/>
      </c>
    </row>
    <row r="138" spans="1:12" ht="15" customHeight="1">
      <c r="A138" s="17" t="s">
        <v>983</v>
      </c>
      <c r="B138" s="17">
        <v>6</v>
      </c>
      <c r="C138" s="17" t="s">
        <v>163</v>
      </c>
      <c r="D138" s="17" t="s">
        <v>984</v>
      </c>
      <c r="E138" s="18" t="s">
        <v>985</v>
      </c>
      <c r="F138" s="18" t="s">
        <v>336</v>
      </c>
      <c r="G138" s="17" t="s">
        <v>334</v>
      </c>
      <c r="H138" s="19" t="s">
        <v>95</v>
      </c>
      <c r="I138" s="19"/>
      <c r="J138" s="20" t="str">
        <f t="shared" si="2"/>
        <v/>
      </c>
      <c r="K138" s="20" t="str">
        <f>IF(G138="","",IF(COUNTIF('01_rules'!$A$2:$A$39,G138)=0,"rule 없음",""))</f>
        <v/>
      </c>
      <c r="L138" s="20" t="str">
        <f>IF(G138="","",IF(ISNUMBER(SEARCH(G138,IFERROR(VLOOKUP(C138,'03_units'!$B$2:$F$21,5,FALSE()),""))),"","unit 불일치"))</f>
        <v/>
      </c>
    </row>
    <row r="139" spans="1:12" ht="15" customHeight="1">
      <c r="A139" s="17" t="s">
        <v>986</v>
      </c>
      <c r="B139" s="17">
        <v>6</v>
      </c>
      <c r="C139" s="17" t="s">
        <v>163</v>
      </c>
      <c r="D139" s="17" t="s">
        <v>987</v>
      </c>
      <c r="E139" s="18" t="s">
        <v>988</v>
      </c>
      <c r="F139" s="18" t="s">
        <v>336</v>
      </c>
      <c r="G139" s="17" t="s">
        <v>334</v>
      </c>
      <c r="H139" s="19" t="s">
        <v>95</v>
      </c>
      <c r="I139" s="19"/>
      <c r="J139" s="20" t="str">
        <f t="shared" si="2"/>
        <v/>
      </c>
      <c r="K139" s="20" t="str">
        <f>IF(G139="","",IF(COUNTIF('01_rules'!$A$2:$A$39,G139)=0,"rule 없음",""))</f>
        <v/>
      </c>
      <c r="L139" s="20" t="str">
        <f>IF(G139="","",IF(ISNUMBER(SEARCH(G139,IFERROR(VLOOKUP(C139,'03_units'!$B$2:$F$21,5,FALSE()),""))),"","unit 불일치"))</f>
        <v/>
      </c>
    </row>
    <row r="140" spans="1:12" ht="15" customHeight="1">
      <c r="A140" s="17" t="s">
        <v>989</v>
      </c>
      <c r="B140" s="17">
        <v>6</v>
      </c>
      <c r="C140" s="17" t="s">
        <v>163</v>
      </c>
      <c r="D140" s="17" t="s">
        <v>990</v>
      </c>
      <c r="E140" s="18" t="s">
        <v>991</v>
      </c>
      <c r="F140" s="18" t="s">
        <v>336</v>
      </c>
      <c r="G140" s="17" t="s">
        <v>334</v>
      </c>
      <c r="H140" s="19" t="s">
        <v>95</v>
      </c>
      <c r="I140" s="19"/>
      <c r="J140" s="20" t="str">
        <f t="shared" si="2"/>
        <v/>
      </c>
      <c r="K140" s="20" t="str">
        <f>IF(G140="","",IF(COUNTIF('01_rules'!$A$2:$A$39,G140)=0,"rule 없음",""))</f>
        <v/>
      </c>
      <c r="L140" s="20" t="str">
        <f>IF(G140="","",IF(ISNUMBER(SEARCH(G140,IFERROR(VLOOKUP(C140,'03_units'!$B$2:$F$21,5,FALSE()),""))),"","unit 불일치"))</f>
        <v/>
      </c>
    </row>
    <row r="141" spans="1:12" ht="15" customHeight="1">
      <c r="A141" s="17" t="s">
        <v>992</v>
      </c>
      <c r="B141" s="17">
        <v>6</v>
      </c>
      <c r="C141" s="17" t="s">
        <v>163</v>
      </c>
      <c r="D141" s="17" t="s">
        <v>993</v>
      </c>
      <c r="E141" s="18" t="s">
        <v>994</v>
      </c>
      <c r="F141" s="18" t="s">
        <v>336</v>
      </c>
      <c r="G141" s="17" t="s">
        <v>334</v>
      </c>
      <c r="H141" s="19" t="s">
        <v>95</v>
      </c>
      <c r="I141" s="19"/>
      <c r="J141" s="20" t="str">
        <f t="shared" si="2"/>
        <v/>
      </c>
      <c r="K141" s="20" t="str">
        <f>IF(G141="","",IF(COUNTIF('01_rules'!$A$2:$A$39,G141)=0,"rule 없음",""))</f>
        <v/>
      </c>
      <c r="L141" s="20" t="str">
        <f>IF(G141="","",IF(ISNUMBER(SEARCH(G141,IFERROR(VLOOKUP(C141,'03_units'!$B$2:$F$21,5,FALSE()),""))),"","unit 불일치"))</f>
        <v/>
      </c>
    </row>
    <row r="142" spans="1:12" ht="15" customHeight="1">
      <c r="A142" s="17" t="s">
        <v>995</v>
      </c>
      <c r="B142" s="17">
        <v>3</v>
      </c>
      <c r="C142" s="17" t="s">
        <v>176</v>
      </c>
      <c r="D142" s="17" t="s">
        <v>996</v>
      </c>
      <c r="E142" s="18" t="s">
        <v>997</v>
      </c>
      <c r="F142" s="18" t="s">
        <v>178</v>
      </c>
      <c r="G142" s="17" t="s">
        <v>174</v>
      </c>
      <c r="H142" s="19" t="s">
        <v>95</v>
      </c>
      <c r="I142" s="19"/>
      <c r="J142" s="20" t="str">
        <f t="shared" si="2"/>
        <v/>
      </c>
      <c r="K142" s="20" t="str">
        <f>IF(G142="","",IF(COUNTIF('01_rules'!$A$2:$A$39,G142)=0,"rule 없음",""))</f>
        <v/>
      </c>
      <c r="L142" s="20" t="str">
        <f>IF(G142="","",IF(ISNUMBER(SEARCH(G142,IFERROR(VLOOKUP(C142,'03_units'!$B$2:$F$21,5,FALSE()),""))),"","unit 불일치"))</f>
        <v/>
      </c>
    </row>
    <row r="143" spans="1:12" ht="15" customHeight="1">
      <c r="A143" s="17" t="s">
        <v>998</v>
      </c>
      <c r="B143" s="17">
        <v>3</v>
      </c>
      <c r="C143" s="17" t="s">
        <v>176</v>
      </c>
      <c r="D143" s="17" t="s">
        <v>999</v>
      </c>
      <c r="E143" s="18" t="s">
        <v>1000</v>
      </c>
      <c r="F143" s="18" t="s">
        <v>178</v>
      </c>
      <c r="G143" s="17" t="s">
        <v>174</v>
      </c>
      <c r="H143" s="19" t="s">
        <v>95</v>
      </c>
      <c r="I143" s="19"/>
      <c r="J143" s="20" t="str">
        <f t="shared" si="2"/>
        <v/>
      </c>
      <c r="K143" s="20" t="str">
        <f>IF(G143="","",IF(COUNTIF('01_rules'!$A$2:$A$39,G143)=0,"rule 없음",""))</f>
        <v/>
      </c>
      <c r="L143" s="20" t="str">
        <f>IF(G143="","",IF(ISNUMBER(SEARCH(G143,IFERROR(VLOOKUP(C143,'03_units'!$B$2:$F$21,5,FALSE()),""))),"","unit 불일치"))</f>
        <v/>
      </c>
    </row>
    <row r="144" spans="1:12" ht="15" customHeight="1">
      <c r="A144" s="17" t="s">
        <v>1001</v>
      </c>
      <c r="B144" s="17">
        <v>3</v>
      </c>
      <c r="C144" s="17" t="s">
        <v>176</v>
      </c>
      <c r="D144" s="17" t="s">
        <v>1002</v>
      </c>
      <c r="E144" s="18" t="s">
        <v>1003</v>
      </c>
      <c r="F144" s="18" t="s">
        <v>178</v>
      </c>
      <c r="G144" s="17" t="s">
        <v>174</v>
      </c>
      <c r="H144" s="19" t="s">
        <v>95</v>
      </c>
      <c r="I144" s="19"/>
      <c r="J144" s="20" t="str">
        <f t="shared" si="2"/>
        <v/>
      </c>
      <c r="K144" s="20" t="str">
        <f>IF(G144="","",IF(COUNTIF('01_rules'!$A$2:$A$39,G144)=0,"rule 없음",""))</f>
        <v/>
      </c>
      <c r="L144" s="20" t="str">
        <f>IF(G144="","",IF(ISNUMBER(SEARCH(G144,IFERROR(VLOOKUP(C144,'03_units'!$B$2:$F$21,5,FALSE()),""))),"","unit 불일치"))</f>
        <v/>
      </c>
    </row>
    <row r="145" spans="1:12" ht="15" customHeight="1">
      <c r="A145" s="17" t="s">
        <v>1004</v>
      </c>
      <c r="B145" s="17">
        <v>3</v>
      </c>
      <c r="C145" s="17" t="s">
        <v>176</v>
      </c>
      <c r="D145" s="17" t="s">
        <v>1005</v>
      </c>
      <c r="E145" s="18" t="s">
        <v>1006</v>
      </c>
      <c r="F145" s="18" t="s">
        <v>178</v>
      </c>
      <c r="G145" s="17" t="s">
        <v>174</v>
      </c>
      <c r="H145" s="19" t="s">
        <v>95</v>
      </c>
      <c r="I145" s="19"/>
      <c r="J145" s="20" t="str">
        <f t="shared" si="2"/>
        <v/>
      </c>
      <c r="K145" s="20" t="str">
        <f>IF(G145="","",IF(COUNTIF('01_rules'!$A$2:$A$39,G145)=0,"rule 없음",""))</f>
        <v/>
      </c>
      <c r="L145" s="20" t="str">
        <f>IF(G145="","",IF(ISNUMBER(SEARCH(G145,IFERROR(VLOOKUP(C145,'03_units'!$B$2:$F$21,5,FALSE()),""))),"","unit 불일치"))</f>
        <v/>
      </c>
    </row>
    <row r="146" spans="1:12" ht="15" customHeight="1">
      <c r="A146" s="17" t="s">
        <v>1007</v>
      </c>
      <c r="B146" s="17">
        <v>3</v>
      </c>
      <c r="C146" s="17" t="s">
        <v>176</v>
      </c>
      <c r="D146" s="17" t="s">
        <v>1008</v>
      </c>
      <c r="E146" s="18" t="s">
        <v>1009</v>
      </c>
      <c r="F146" s="18" t="s">
        <v>178</v>
      </c>
      <c r="G146" s="17" t="s">
        <v>174</v>
      </c>
      <c r="H146" s="19" t="s">
        <v>95</v>
      </c>
      <c r="I146" s="19"/>
      <c r="J146" s="20" t="str">
        <f t="shared" si="2"/>
        <v/>
      </c>
      <c r="K146" s="20" t="str">
        <f>IF(G146="","",IF(COUNTIF('01_rules'!$A$2:$A$39,G146)=0,"rule 없음",""))</f>
        <v/>
      </c>
      <c r="L146" s="20" t="str">
        <f>IF(G146="","",IF(ISNUMBER(SEARCH(G146,IFERROR(VLOOKUP(C146,'03_units'!$B$2:$F$21,5,FALSE()),""))),"","unit 불일치"))</f>
        <v/>
      </c>
    </row>
    <row r="147" spans="1:12" ht="15" customHeight="1">
      <c r="A147" s="17" t="s">
        <v>1010</v>
      </c>
      <c r="B147" s="17">
        <v>4</v>
      </c>
      <c r="C147" s="17" t="s">
        <v>176</v>
      </c>
      <c r="D147" s="17" t="s">
        <v>1011</v>
      </c>
      <c r="E147" s="18" t="s">
        <v>1012</v>
      </c>
      <c r="F147" s="18" t="s">
        <v>178</v>
      </c>
      <c r="G147" s="17" t="s">
        <v>174</v>
      </c>
      <c r="H147" s="19" t="s">
        <v>95</v>
      </c>
      <c r="I147" s="19"/>
      <c r="J147" s="20" t="str">
        <f t="shared" si="2"/>
        <v/>
      </c>
      <c r="K147" s="20" t="str">
        <f>IF(G147="","",IF(COUNTIF('01_rules'!$A$2:$A$39,G147)=0,"rule 없음",""))</f>
        <v/>
      </c>
      <c r="L147" s="20" t="str">
        <f>IF(G147="","",IF(ISNUMBER(SEARCH(G147,IFERROR(VLOOKUP(C147,'03_units'!$B$2:$F$21,5,FALSE()),""))),"","unit 불일치"))</f>
        <v/>
      </c>
    </row>
    <row r="148" spans="1:12" ht="15" customHeight="1">
      <c r="A148" s="17" t="s">
        <v>1013</v>
      </c>
      <c r="B148" s="17">
        <v>4</v>
      </c>
      <c r="C148" s="17" t="s">
        <v>176</v>
      </c>
      <c r="D148" s="17" t="s">
        <v>1014</v>
      </c>
      <c r="E148" s="18" t="s">
        <v>1015</v>
      </c>
      <c r="F148" s="18" t="s">
        <v>178</v>
      </c>
      <c r="G148" s="17" t="s">
        <v>174</v>
      </c>
      <c r="H148" s="19" t="s">
        <v>95</v>
      </c>
      <c r="I148" s="19"/>
      <c r="J148" s="20" t="str">
        <f t="shared" si="2"/>
        <v/>
      </c>
      <c r="K148" s="20" t="str">
        <f>IF(G148="","",IF(COUNTIF('01_rules'!$A$2:$A$39,G148)=0,"rule 없음",""))</f>
        <v/>
      </c>
      <c r="L148" s="20" t="str">
        <f>IF(G148="","",IF(ISNUMBER(SEARCH(G148,IFERROR(VLOOKUP(C148,'03_units'!$B$2:$F$21,5,FALSE()),""))),"","unit 불일치"))</f>
        <v/>
      </c>
    </row>
    <row r="149" spans="1:12" ht="15" customHeight="1">
      <c r="A149" s="17" t="s">
        <v>1016</v>
      </c>
      <c r="B149" s="17">
        <v>4</v>
      </c>
      <c r="C149" s="17" t="s">
        <v>176</v>
      </c>
      <c r="D149" s="17" t="s">
        <v>1017</v>
      </c>
      <c r="E149" s="18" t="s">
        <v>1018</v>
      </c>
      <c r="F149" s="18" t="s">
        <v>178</v>
      </c>
      <c r="G149" s="17" t="s">
        <v>174</v>
      </c>
      <c r="H149" s="19" t="s">
        <v>95</v>
      </c>
      <c r="I149" s="19"/>
      <c r="J149" s="20" t="str">
        <f t="shared" si="2"/>
        <v/>
      </c>
      <c r="K149" s="20" t="str">
        <f>IF(G149="","",IF(COUNTIF('01_rules'!$A$2:$A$39,G149)=0,"rule 없음",""))</f>
        <v/>
      </c>
      <c r="L149" s="20" t="str">
        <f>IF(G149="","",IF(ISNUMBER(SEARCH(G149,IFERROR(VLOOKUP(C149,'03_units'!$B$2:$F$21,5,FALSE()),""))),"","unit 불일치"))</f>
        <v/>
      </c>
    </row>
    <row r="150" spans="1:12" ht="15" customHeight="1">
      <c r="A150" s="17" t="s">
        <v>1019</v>
      </c>
      <c r="B150" s="17">
        <v>4</v>
      </c>
      <c r="C150" s="17" t="s">
        <v>176</v>
      </c>
      <c r="D150" s="17" t="s">
        <v>1020</v>
      </c>
      <c r="E150" s="18" t="s">
        <v>1021</v>
      </c>
      <c r="F150" s="18" t="s">
        <v>178</v>
      </c>
      <c r="G150" s="17" t="s">
        <v>174</v>
      </c>
      <c r="H150" s="19" t="s">
        <v>95</v>
      </c>
      <c r="I150" s="19"/>
      <c r="J150" s="20" t="str">
        <f t="shared" si="2"/>
        <v/>
      </c>
      <c r="K150" s="20" t="str">
        <f>IF(G150="","",IF(COUNTIF('01_rules'!$A$2:$A$39,G150)=0,"rule 없음",""))</f>
        <v/>
      </c>
      <c r="L150" s="20" t="str">
        <f>IF(G150="","",IF(ISNUMBER(SEARCH(G150,IFERROR(VLOOKUP(C150,'03_units'!$B$2:$F$21,5,FALSE()),""))),"","unit 불일치"))</f>
        <v/>
      </c>
    </row>
    <row r="151" spans="1:12" ht="15" customHeight="1">
      <c r="A151" s="17" t="s">
        <v>1022</v>
      </c>
      <c r="B151" s="17">
        <v>4</v>
      </c>
      <c r="C151" s="17" t="s">
        <v>176</v>
      </c>
      <c r="D151" s="17" t="s">
        <v>1023</v>
      </c>
      <c r="E151" s="18" t="s">
        <v>1024</v>
      </c>
      <c r="F151" s="18" t="s">
        <v>336</v>
      </c>
      <c r="G151" s="17" t="s">
        <v>334</v>
      </c>
      <c r="H151" s="19" t="s">
        <v>95</v>
      </c>
      <c r="I151" s="19"/>
      <c r="J151" s="20" t="str">
        <f t="shared" si="2"/>
        <v/>
      </c>
      <c r="K151" s="20" t="str">
        <f>IF(G151="","",IF(COUNTIF('01_rules'!$A$2:$A$39,G151)=0,"rule 없음",""))</f>
        <v/>
      </c>
      <c r="L151" s="20" t="str">
        <f>IF(G151="","",IF(ISNUMBER(SEARCH(G151,IFERROR(VLOOKUP(C151,'03_units'!$B$2:$F$21,5,FALSE()),""))),"","unit 불일치"))</f>
        <v/>
      </c>
    </row>
    <row r="152" spans="1:12" ht="15" customHeight="1">
      <c r="A152" s="17" t="s">
        <v>1025</v>
      </c>
      <c r="B152" s="17">
        <v>5</v>
      </c>
      <c r="C152" s="17" t="s">
        <v>176</v>
      </c>
      <c r="D152" s="17" t="s">
        <v>1026</v>
      </c>
      <c r="E152" s="18" t="s">
        <v>1027</v>
      </c>
      <c r="F152" s="18" t="s">
        <v>336</v>
      </c>
      <c r="G152" s="17" t="s">
        <v>334</v>
      </c>
      <c r="H152" s="19" t="s">
        <v>95</v>
      </c>
      <c r="I152" s="19"/>
      <c r="J152" s="20" t="str">
        <f t="shared" si="2"/>
        <v/>
      </c>
      <c r="K152" s="20" t="str">
        <f>IF(G152="","",IF(COUNTIF('01_rules'!$A$2:$A$39,G152)=0,"rule 없음",""))</f>
        <v/>
      </c>
      <c r="L152" s="20" t="str">
        <f>IF(G152="","",IF(ISNUMBER(SEARCH(G152,IFERROR(VLOOKUP(C152,'03_units'!$B$2:$F$21,5,FALSE()),""))),"","unit 불일치"))</f>
        <v/>
      </c>
    </row>
    <row r="153" spans="1:12" ht="15" customHeight="1">
      <c r="A153" s="17" t="s">
        <v>1028</v>
      </c>
      <c r="B153" s="17">
        <v>5</v>
      </c>
      <c r="C153" s="17" t="s">
        <v>176</v>
      </c>
      <c r="D153" s="17" t="s">
        <v>1029</v>
      </c>
      <c r="E153" s="18" t="s">
        <v>1030</v>
      </c>
      <c r="F153" s="18" t="s">
        <v>184</v>
      </c>
      <c r="G153" s="17" t="s">
        <v>181</v>
      </c>
      <c r="H153" s="19" t="s">
        <v>95</v>
      </c>
      <c r="I153" s="19"/>
      <c r="J153" s="20" t="str">
        <f t="shared" si="2"/>
        <v/>
      </c>
      <c r="K153" s="20" t="str">
        <f>IF(G153="","",IF(COUNTIF('01_rules'!$A$2:$A$39,G153)=0,"rule 없음",""))</f>
        <v/>
      </c>
      <c r="L153" s="20" t="str">
        <f>IF(G153="","",IF(ISNUMBER(SEARCH(G153,IFERROR(VLOOKUP(C153,'03_units'!$B$2:$F$21,5,FALSE()),""))),"","unit 불일치"))</f>
        <v/>
      </c>
    </row>
    <row r="154" spans="1:12" ht="15" customHeight="1">
      <c r="A154" s="17" t="s">
        <v>1031</v>
      </c>
      <c r="B154" s="17">
        <v>5</v>
      </c>
      <c r="C154" s="17" t="s">
        <v>176</v>
      </c>
      <c r="D154" s="17" t="s">
        <v>1032</v>
      </c>
      <c r="E154" s="18" t="s">
        <v>1033</v>
      </c>
      <c r="F154" s="18" t="s">
        <v>336</v>
      </c>
      <c r="G154" s="17" t="s">
        <v>334</v>
      </c>
      <c r="H154" s="19" t="s">
        <v>95</v>
      </c>
      <c r="I154" s="19"/>
      <c r="J154" s="20" t="str">
        <f t="shared" si="2"/>
        <v/>
      </c>
      <c r="K154" s="20" t="str">
        <f>IF(G154="","",IF(COUNTIF('01_rules'!$A$2:$A$39,G154)=0,"rule 없음",""))</f>
        <v/>
      </c>
      <c r="L154" s="20" t="str">
        <f>IF(G154="","",IF(ISNUMBER(SEARCH(G154,IFERROR(VLOOKUP(C154,'03_units'!$B$2:$F$21,5,FALSE()),""))),"","unit 불일치"))</f>
        <v/>
      </c>
    </row>
    <row r="155" spans="1:12" ht="15" customHeight="1">
      <c r="A155" s="17" t="s">
        <v>1034</v>
      </c>
      <c r="B155" s="17">
        <v>5</v>
      </c>
      <c r="C155" s="17" t="s">
        <v>176</v>
      </c>
      <c r="D155" s="17" t="s">
        <v>1035</v>
      </c>
      <c r="E155" s="18" t="s">
        <v>1036</v>
      </c>
      <c r="F155" s="18" t="s">
        <v>91</v>
      </c>
      <c r="G155" s="17" t="s">
        <v>87</v>
      </c>
      <c r="H155" s="19" t="s">
        <v>95</v>
      </c>
      <c r="I155" s="19"/>
      <c r="J155" s="20" t="str">
        <f t="shared" si="2"/>
        <v/>
      </c>
      <c r="K155" s="20" t="str">
        <f>IF(G155="","",IF(COUNTIF('01_rules'!$A$2:$A$39,G155)=0,"rule 없음",""))</f>
        <v/>
      </c>
      <c r="L155" s="20" t="str">
        <f>IF(G155="","",IF(ISNUMBER(SEARCH(G155,IFERROR(VLOOKUP(C155,'03_units'!$B$2:$F$21,5,FALSE()),""))),"","unit 불일치"))</f>
        <v/>
      </c>
    </row>
    <row r="156" spans="1:12" ht="15" customHeight="1">
      <c r="A156" s="17" t="s">
        <v>1037</v>
      </c>
      <c r="B156" s="17">
        <v>5</v>
      </c>
      <c r="C156" s="17" t="s">
        <v>176</v>
      </c>
      <c r="D156" s="17" t="s">
        <v>1038</v>
      </c>
      <c r="E156" s="18" t="s">
        <v>1039</v>
      </c>
      <c r="F156" s="18" t="s">
        <v>91</v>
      </c>
      <c r="G156" s="17" t="s">
        <v>87</v>
      </c>
      <c r="H156" s="19" t="s">
        <v>95</v>
      </c>
      <c r="I156" s="19"/>
      <c r="J156" s="20" t="str">
        <f t="shared" si="2"/>
        <v/>
      </c>
      <c r="K156" s="20" t="str">
        <f>IF(G156="","",IF(COUNTIF('01_rules'!$A$2:$A$39,G156)=0,"rule 없음",""))</f>
        <v/>
      </c>
      <c r="L156" s="20" t="str">
        <f>IF(G156="","",IF(ISNUMBER(SEARCH(G156,IFERROR(VLOOKUP(C156,'03_units'!$B$2:$F$21,5,FALSE()),""))),"","unit 불일치"))</f>
        <v/>
      </c>
    </row>
    <row r="157" spans="1:12" ht="15" customHeight="1">
      <c r="A157" s="17" t="s">
        <v>1040</v>
      </c>
      <c r="B157" s="17">
        <v>6</v>
      </c>
      <c r="C157" s="17" t="s">
        <v>176</v>
      </c>
      <c r="D157" s="17" t="s">
        <v>1041</v>
      </c>
      <c r="E157" s="18" t="s">
        <v>1042</v>
      </c>
      <c r="F157" s="18" t="s">
        <v>336</v>
      </c>
      <c r="G157" s="17" t="s">
        <v>334</v>
      </c>
      <c r="H157" s="19" t="s">
        <v>95</v>
      </c>
      <c r="I157" s="19"/>
      <c r="J157" s="20" t="str">
        <f t="shared" si="2"/>
        <v/>
      </c>
      <c r="K157" s="20" t="str">
        <f>IF(G157="","",IF(COUNTIF('01_rules'!$A$2:$A$39,G157)=0,"rule 없음",""))</f>
        <v/>
      </c>
      <c r="L157" s="20" t="str">
        <f>IF(G157="","",IF(ISNUMBER(SEARCH(G157,IFERROR(VLOOKUP(C157,'03_units'!$B$2:$F$21,5,FALSE()),""))),"","unit 불일치"))</f>
        <v/>
      </c>
    </row>
    <row r="158" spans="1:12" ht="15" customHeight="1">
      <c r="A158" s="17" t="s">
        <v>1043</v>
      </c>
      <c r="B158" s="17">
        <v>6</v>
      </c>
      <c r="C158" s="17" t="s">
        <v>176</v>
      </c>
      <c r="D158" s="17" t="s">
        <v>1044</v>
      </c>
      <c r="E158" s="18" t="s">
        <v>1045</v>
      </c>
      <c r="F158" s="18" t="s">
        <v>336</v>
      </c>
      <c r="G158" s="17" t="s">
        <v>334</v>
      </c>
      <c r="H158" s="19" t="s">
        <v>95</v>
      </c>
      <c r="I158" s="19"/>
      <c r="J158" s="20" t="str">
        <f t="shared" si="2"/>
        <v/>
      </c>
      <c r="K158" s="20" t="str">
        <f>IF(G158="","",IF(COUNTIF('01_rules'!$A$2:$A$39,G158)=0,"rule 없음",""))</f>
        <v/>
      </c>
      <c r="L158" s="20" t="str">
        <f>IF(G158="","",IF(ISNUMBER(SEARCH(G158,IFERROR(VLOOKUP(C158,'03_units'!$B$2:$F$21,5,FALSE()),""))),"","unit 불일치"))</f>
        <v/>
      </c>
    </row>
    <row r="159" spans="1:12" ht="23.25" customHeight="1">
      <c r="A159" s="17" t="s">
        <v>1046</v>
      </c>
      <c r="B159" s="17">
        <v>6</v>
      </c>
      <c r="C159" s="17" t="s">
        <v>176</v>
      </c>
      <c r="D159" s="17" t="s">
        <v>1047</v>
      </c>
      <c r="E159" s="18" t="s">
        <v>1048</v>
      </c>
      <c r="F159" s="18" t="s">
        <v>145</v>
      </c>
      <c r="G159" s="17" t="s">
        <v>141</v>
      </c>
      <c r="H159" s="19" t="s">
        <v>95</v>
      </c>
      <c r="I159" s="19"/>
      <c r="J159" s="20" t="str">
        <f t="shared" si="2"/>
        <v/>
      </c>
      <c r="K159" s="20" t="str">
        <f>IF(G159="","",IF(COUNTIF('01_rules'!$A$2:$A$39,G159)=0,"rule 없음",""))</f>
        <v/>
      </c>
      <c r="L159" s="20" t="str">
        <f>IF(G159="","",IF(ISNUMBER(SEARCH(G159,IFERROR(VLOOKUP(C159,'03_units'!$B$2:$F$21,5,FALSE()),""))),"","unit 불일치"))</f>
        <v/>
      </c>
    </row>
    <row r="160" spans="1:12" ht="15" customHeight="1">
      <c r="A160" s="17" t="s">
        <v>1049</v>
      </c>
      <c r="B160" s="17">
        <v>6</v>
      </c>
      <c r="C160" s="17" t="s">
        <v>176</v>
      </c>
      <c r="D160" s="17" t="s">
        <v>1050</v>
      </c>
      <c r="E160" s="18" t="s">
        <v>1051</v>
      </c>
      <c r="F160" s="18" t="s">
        <v>145</v>
      </c>
      <c r="G160" s="17" t="s">
        <v>141</v>
      </c>
      <c r="H160" s="19" t="s">
        <v>95</v>
      </c>
      <c r="I160" s="19"/>
      <c r="J160" s="20" t="str">
        <f t="shared" si="2"/>
        <v/>
      </c>
      <c r="K160" s="20" t="str">
        <f>IF(G160="","",IF(COUNTIF('01_rules'!$A$2:$A$39,G160)=0,"rule 없음",""))</f>
        <v/>
      </c>
      <c r="L160" s="20" t="str">
        <f>IF(G160="","",IF(ISNUMBER(SEARCH(G160,IFERROR(VLOOKUP(C160,'03_units'!$B$2:$F$21,5,FALSE()),""))),"","unit 불일치"))</f>
        <v/>
      </c>
    </row>
    <row r="161" spans="1:12" ht="15" customHeight="1">
      <c r="A161" s="17" t="s">
        <v>1052</v>
      </c>
      <c r="B161" s="17">
        <v>6</v>
      </c>
      <c r="C161" s="17" t="s">
        <v>176</v>
      </c>
      <c r="D161" s="17" t="s">
        <v>1053</v>
      </c>
      <c r="E161" s="18" t="s">
        <v>1054</v>
      </c>
      <c r="F161" s="18" t="s">
        <v>184</v>
      </c>
      <c r="G161" s="17" t="s">
        <v>181</v>
      </c>
      <c r="H161" s="19" t="s">
        <v>95</v>
      </c>
      <c r="I161" s="19"/>
      <c r="J161" s="20" t="str">
        <f t="shared" si="2"/>
        <v/>
      </c>
      <c r="K161" s="20" t="str">
        <f>IF(G161="","",IF(COUNTIF('01_rules'!$A$2:$A$39,G161)=0,"rule 없음",""))</f>
        <v/>
      </c>
      <c r="L161" s="20" t="str">
        <f>IF(G161="","",IF(ISNUMBER(SEARCH(G161,IFERROR(VLOOKUP(C161,'03_units'!$B$2:$F$21,5,FALSE()),""))),"","unit 불일치"))</f>
        <v/>
      </c>
    </row>
    <row r="162" spans="1:12" ht="15" customHeight="1">
      <c r="A162" s="17" t="s">
        <v>1055</v>
      </c>
      <c r="B162" s="17">
        <v>3</v>
      </c>
      <c r="C162" s="17" t="s">
        <v>189</v>
      </c>
      <c r="D162" s="17" t="s">
        <v>1056</v>
      </c>
      <c r="E162" s="18" t="s">
        <v>1057</v>
      </c>
      <c r="F162" s="18" t="s">
        <v>191</v>
      </c>
      <c r="G162" s="17" t="s">
        <v>187</v>
      </c>
      <c r="H162" s="19" t="s">
        <v>95</v>
      </c>
      <c r="I162" s="19"/>
      <c r="J162" s="20" t="str">
        <f t="shared" si="2"/>
        <v/>
      </c>
      <c r="K162" s="20" t="str">
        <f>IF(G162="","",IF(COUNTIF('01_rules'!$A$2:$A$39,G162)=0,"rule 없음",""))</f>
        <v/>
      </c>
      <c r="L162" s="20" t="str">
        <f>IF(G162="","",IF(ISNUMBER(SEARCH(G162,IFERROR(VLOOKUP(C162,'03_units'!$B$2:$F$21,5,FALSE()),""))),"","unit 불일치"))</f>
        <v/>
      </c>
    </row>
    <row r="163" spans="1:12" ht="15" customHeight="1">
      <c r="A163" s="17" t="s">
        <v>1058</v>
      </c>
      <c r="B163" s="17">
        <v>3</v>
      </c>
      <c r="C163" s="17" t="s">
        <v>189</v>
      </c>
      <c r="D163" s="17" t="s">
        <v>1059</v>
      </c>
      <c r="E163" s="18" t="s">
        <v>1060</v>
      </c>
      <c r="F163" s="18" t="s">
        <v>191</v>
      </c>
      <c r="G163" s="17" t="s">
        <v>187</v>
      </c>
      <c r="H163" s="19" t="s">
        <v>95</v>
      </c>
      <c r="I163" s="19"/>
      <c r="J163" s="20" t="str">
        <f t="shared" si="2"/>
        <v/>
      </c>
      <c r="K163" s="20" t="str">
        <f>IF(G163="","",IF(COUNTIF('01_rules'!$A$2:$A$39,G163)=0,"rule 없음",""))</f>
        <v/>
      </c>
      <c r="L163" s="20" t="str">
        <f>IF(G163="","",IF(ISNUMBER(SEARCH(G163,IFERROR(VLOOKUP(C163,'03_units'!$B$2:$F$21,5,FALSE()),""))),"","unit 불일치"))</f>
        <v/>
      </c>
    </row>
    <row r="164" spans="1:12" ht="15" customHeight="1">
      <c r="A164" s="17" t="s">
        <v>1061</v>
      </c>
      <c r="B164" s="17">
        <v>3</v>
      </c>
      <c r="C164" s="17" t="s">
        <v>189</v>
      </c>
      <c r="D164" s="17" t="s">
        <v>1062</v>
      </c>
      <c r="E164" s="18" t="s">
        <v>1063</v>
      </c>
      <c r="F164" s="18" t="s">
        <v>191</v>
      </c>
      <c r="G164" s="17" t="s">
        <v>187</v>
      </c>
      <c r="H164" s="19" t="s">
        <v>95</v>
      </c>
      <c r="I164" s="19"/>
      <c r="J164" s="20" t="str">
        <f t="shared" si="2"/>
        <v/>
      </c>
      <c r="K164" s="20" t="str">
        <f>IF(G164="","",IF(COUNTIF('01_rules'!$A$2:$A$39,G164)=0,"rule 없음",""))</f>
        <v/>
      </c>
      <c r="L164" s="20" t="str">
        <f>IF(G164="","",IF(ISNUMBER(SEARCH(G164,IFERROR(VLOOKUP(C164,'03_units'!$B$2:$F$21,5,FALSE()),""))),"","unit 불일치"))</f>
        <v/>
      </c>
    </row>
    <row r="165" spans="1:12" ht="15" customHeight="1">
      <c r="A165" s="17" t="s">
        <v>1064</v>
      </c>
      <c r="B165" s="17">
        <v>3</v>
      </c>
      <c r="C165" s="17" t="s">
        <v>189</v>
      </c>
      <c r="D165" s="17" t="s">
        <v>1065</v>
      </c>
      <c r="E165" s="18" t="s">
        <v>1066</v>
      </c>
      <c r="F165" s="18" t="s">
        <v>191</v>
      </c>
      <c r="G165" s="17" t="s">
        <v>187</v>
      </c>
      <c r="H165" s="19" t="s">
        <v>95</v>
      </c>
      <c r="I165" s="19"/>
      <c r="J165" s="20" t="str">
        <f t="shared" si="2"/>
        <v/>
      </c>
      <c r="K165" s="20" t="str">
        <f>IF(G165="","",IF(COUNTIF('01_rules'!$A$2:$A$39,G165)=0,"rule 없음",""))</f>
        <v/>
      </c>
      <c r="L165" s="20" t="str">
        <f>IF(G165="","",IF(ISNUMBER(SEARCH(G165,IFERROR(VLOOKUP(C165,'03_units'!$B$2:$F$21,5,FALSE()),""))),"","unit 불일치"))</f>
        <v/>
      </c>
    </row>
    <row r="166" spans="1:12" ht="23.25" customHeight="1">
      <c r="A166" s="17" t="s">
        <v>1067</v>
      </c>
      <c r="B166" s="17">
        <v>3</v>
      </c>
      <c r="C166" s="17" t="s">
        <v>189</v>
      </c>
      <c r="D166" s="17" t="s">
        <v>1068</v>
      </c>
      <c r="E166" s="18" t="s">
        <v>1069</v>
      </c>
      <c r="F166" s="18" t="s">
        <v>336</v>
      </c>
      <c r="G166" s="17" t="s">
        <v>334</v>
      </c>
      <c r="H166" s="19" t="s">
        <v>95</v>
      </c>
      <c r="I166" s="19"/>
      <c r="J166" s="20" t="str">
        <f t="shared" si="2"/>
        <v/>
      </c>
      <c r="K166" s="20" t="str">
        <f>IF(G166="","",IF(COUNTIF('01_rules'!$A$2:$A$39,G166)=0,"rule 없음",""))</f>
        <v/>
      </c>
      <c r="L166" s="20" t="str">
        <f>IF(G166="","",IF(ISNUMBER(SEARCH(G166,IFERROR(VLOOKUP(C166,'03_units'!$B$2:$F$21,5,FALSE()),""))),"","unit 불일치"))</f>
        <v/>
      </c>
    </row>
    <row r="167" spans="1:12" ht="23.25" customHeight="1">
      <c r="A167" s="17" t="s">
        <v>1070</v>
      </c>
      <c r="B167" s="17">
        <v>4</v>
      </c>
      <c r="C167" s="17" t="s">
        <v>189</v>
      </c>
      <c r="D167" s="17" t="s">
        <v>1071</v>
      </c>
      <c r="E167" s="18" t="s">
        <v>1072</v>
      </c>
      <c r="F167" s="18" t="s">
        <v>336</v>
      </c>
      <c r="G167" s="17" t="s">
        <v>334</v>
      </c>
      <c r="H167" s="19" t="s">
        <v>95</v>
      </c>
      <c r="I167" s="19"/>
      <c r="J167" s="20" t="str">
        <f t="shared" si="2"/>
        <v/>
      </c>
      <c r="K167" s="20" t="str">
        <f>IF(G167="","",IF(COUNTIF('01_rules'!$A$2:$A$39,G167)=0,"rule 없음",""))</f>
        <v/>
      </c>
      <c r="L167" s="20" t="str">
        <f>IF(G167="","",IF(ISNUMBER(SEARCH(G167,IFERROR(VLOOKUP(C167,'03_units'!$B$2:$F$21,5,FALSE()),""))),"","unit 불일치"))</f>
        <v/>
      </c>
    </row>
    <row r="168" spans="1:12" ht="29.25" customHeight="1">
      <c r="A168" s="17" t="s">
        <v>1073</v>
      </c>
      <c r="B168" s="17">
        <v>4</v>
      </c>
      <c r="C168" s="17" t="s">
        <v>189</v>
      </c>
      <c r="D168" s="17" t="s">
        <v>1074</v>
      </c>
      <c r="E168" s="18" t="s">
        <v>1075</v>
      </c>
      <c r="F168" s="18" t="s">
        <v>336</v>
      </c>
      <c r="G168" s="17" t="s">
        <v>334</v>
      </c>
      <c r="H168" s="19" t="s">
        <v>95</v>
      </c>
      <c r="I168" s="19"/>
      <c r="J168" s="20" t="str">
        <f t="shared" si="2"/>
        <v/>
      </c>
      <c r="K168" s="20" t="str">
        <f>IF(G168="","",IF(COUNTIF('01_rules'!$A$2:$A$39,G168)=0,"rule 없음",""))</f>
        <v/>
      </c>
      <c r="L168" s="20" t="str">
        <f>IF(G168="","",IF(ISNUMBER(SEARCH(G168,IFERROR(VLOOKUP(C168,'03_units'!$B$2:$F$21,5,FALSE()),""))),"","unit 불일치"))</f>
        <v/>
      </c>
    </row>
    <row r="169" spans="1:12" ht="15" customHeight="1">
      <c r="A169" s="17" t="s">
        <v>1076</v>
      </c>
      <c r="B169" s="17">
        <v>4</v>
      </c>
      <c r="C169" s="17" t="s">
        <v>189</v>
      </c>
      <c r="D169" s="17" t="s">
        <v>1077</v>
      </c>
      <c r="E169" s="18" t="s">
        <v>1078</v>
      </c>
      <c r="F169" s="18" t="s">
        <v>336</v>
      </c>
      <c r="G169" s="17" t="s">
        <v>334</v>
      </c>
      <c r="H169" s="19" t="s">
        <v>95</v>
      </c>
      <c r="I169" s="19"/>
      <c r="J169" s="20" t="str">
        <f t="shared" si="2"/>
        <v/>
      </c>
      <c r="K169" s="20" t="str">
        <f>IF(G169="","",IF(COUNTIF('01_rules'!$A$2:$A$39,G169)=0,"rule 없음",""))</f>
        <v/>
      </c>
      <c r="L169" s="20" t="str">
        <f>IF(G169="","",IF(ISNUMBER(SEARCH(G169,IFERROR(VLOOKUP(C169,'03_units'!$B$2:$F$21,5,FALSE()),""))),"","unit 불일치"))</f>
        <v/>
      </c>
    </row>
    <row r="170" spans="1:12" ht="23.25" customHeight="1">
      <c r="A170" s="17" t="s">
        <v>1079</v>
      </c>
      <c r="B170" s="17">
        <v>4</v>
      </c>
      <c r="C170" s="17" t="s">
        <v>189</v>
      </c>
      <c r="D170" s="17" t="s">
        <v>1080</v>
      </c>
      <c r="E170" s="18" t="s">
        <v>1081</v>
      </c>
      <c r="F170" s="18" t="s">
        <v>336</v>
      </c>
      <c r="G170" s="17" t="s">
        <v>334</v>
      </c>
      <c r="H170" s="19" t="s">
        <v>95</v>
      </c>
      <c r="I170" s="19"/>
      <c r="J170" s="20" t="str">
        <f t="shared" si="2"/>
        <v/>
      </c>
      <c r="K170" s="20" t="str">
        <f>IF(G170="","",IF(COUNTIF('01_rules'!$A$2:$A$39,G170)=0,"rule 없음",""))</f>
        <v/>
      </c>
      <c r="L170" s="20" t="str">
        <f>IF(G170="","",IF(ISNUMBER(SEARCH(G170,IFERROR(VLOOKUP(C170,'03_units'!$B$2:$F$21,5,FALSE()),""))),"","unit 불일치"))</f>
        <v/>
      </c>
    </row>
    <row r="171" spans="1:12" ht="15" customHeight="1">
      <c r="A171" s="17" t="s">
        <v>1082</v>
      </c>
      <c r="B171" s="17">
        <v>4</v>
      </c>
      <c r="C171" s="17" t="s">
        <v>189</v>
      </c>
      <c r="D171" s="17" t="s">
        <v>1083</v>
      </c>
      <c r="E171" s="18" t="s">
        <v>1084</v>
      </c>
      <c r="F171" s="18" t="s">
        <v>336</v>
      </c>
      <c r="G171" s="17" t="s">
        <v>334</v>
      </c>
      <c r="H171" s="19" t="s">
        <v>95</v>
      </c>
      <c r="I171" s="19"/>
      <c r="J171" s="20" t="str">
        <f t="shared" si="2"/>
        <v/>
      </c>
      <c r="K171" s="20" t="str">
        <f>IF(G171="","",IF(COUNTIF('01_rules'!$A$2:$A$39,G171)=0,"rule 없음",""))</f>
        <v/>
      </c>
      <c r="L171" s="20" t="str">
        <f>IF(G171="","",IF(ISNUMBER(SEARCH(G171,IFERROR(VLOOKUP(C171,'03_units'!$B$2:$F$21,5,FALSE()),""))),"","unit 불일치"))</f>
        <v/>
      </c>
    </row>
    <row r="172" spans="1:12" ht="23.25" customHeight="1">
      <c r="A172" s="17" t="s">
        <v>1085</v>
      </c>
      <c r="B172" s="17">
        <v>5</v>
      </c>
      <c r="C172" s="17" t="s">
        <v>189</v>
      </c>
      <c r="D172" s="17" t="s">
        <v>1086</v>
      </c>
      <c r="E172" s="18" t="s">
        <v>1087</v>
      </c>
      <c r="F172" s="18" t="s">
        <v>301</v>
      </c>
      <c r="G172" s="17" t="s">
        <v>297</v>
      </c>
      <c r="H172" s="19" t="s">
        <v>95</v>
      </c>
      <c r="I172" s="19"/>
      <c r="J172" s="20" t="str">
        <f t="shared" si="2"/>
        <v/>
      </c>
      <c r="K172" s="20" t="str">
        <f>IF(G172="","",IF(COUNTIF('01_rules'!$A$2:$A$39,G172)=0,"rule 없음",""))</f>
        <v/>
      </c>
      <c r="L172" s="20" t="str">
        <f>IF(G172="","",IF(ISNUMBER(SEARCH(G172,IFERROR(VLOOKUP(C172,'03_units'!$B$2:$F$21,5,FALSE()),""))),"","unit 불일치"))</f>
        <v/>
      </c>
    </row>
    <row r="173" spans="1:12" ht="15" customHeight="1">
      <c r="A173" s="17" t="s">
        <v>1088</v>
      </c>
      <c r="B173" s="17">
        <v>5</v>
      </c>
      <c r="C173" s="17" t="s">
        <v>189</v>
      </c>
      <c r="D173" s="17" t="s">
        <v>1089</v>
      </c>
      <c r="E173" s="18" t="s">
        <v>1090</v>
      </c>
      <c r="F173" s="18" t="s">
        <v>301</v>
      </c>
      <c r="G173" s="17" t="s">
        <v>297</v>
      </c>
      <c r="H173" s="19" t="s">
        <v>95</v>
      </c>
      <c r="I173" s="19"/>
      <c r="J173" s="20" t="str">
        <f t="shared" si="2"/>
        <v/>
      </c>
      <c r="K173" s="20" t="str">
        <f>IF(G173="","",IF(COUNTIF('01_rules'!$A$2:$A$39,G173)=0,"rule 없음",""))</f>
        <v/>
      </c>
      <c r="L173" s="20" t="str">
        <f>IF(G173="","",IF(ISNUMBER(SEARCH(G173,IFERROR(VLOOKUP(C173,'03_units'!$B$2:$F$21,5,FALSE()),""))),"","unit 불일치"))</f>
        <v/>
      </c>
    </row>
    <row r="174" spans="1:12" ht="15" customHeight="1">
      <c r="A174" s="17" t="s">
        <v>1091</v>
      </c>
      <c r="B174" s="17">
        <v>5</v>
      </c>
      <c r="C174" s="17" t="s">
        <v>189</v>
      </c>
      <c r="D174" s="17" t="s">
        <v>1092</v>
      </c>
      <c r="E174" s="18" t="s">
        <v>1093</v>
      </c>
      <c r="F174" s="18" t="s">
        <v>301</v>
      </c>
      <c r="G174" s="17" t="s">
        <v>297</v>
      </c>
      <c r="H174" s="19" t="s">
        <v>95</v>
      </c>
      <c r="I174" s="19"/>
      <c r="J174" s="20" t="str">
        <f t="shared" si="2"/>
        <v/>
      </c>
      <c r="K174" s="20" t="str">
        <f>IF(G174="","",IF(COUNTIF('01_rules'!$A$2:$A$39,G174)=0,"rule 없음",""))</f>
        <v/>
      </c>
      <c r="L174" s="20" t="str">
        <f>IF(G174="","",IF(ISNUMBER(SEARCH(G174,IFERROR(VLOOKUP(C174,'03_units'!$B$2:$F$21,5,FALSE()),""))),"","unit 불일치"))</f>
        <v/>
      </c>
    </row>
    <row r="175" spans="1:12" ht="15" customHeight="1">
      <c r="A175" s="17" t="s">
        <v>1094</v>
      </c>
      <c r="B175" s="17">
        <v>5</v>
      </c>
      <c r="C175" s="17" t="s">
        <v>189</v>
      </c>
      <c r="D175" s="17" t="s">
        <v>1095</v>
      </c>
      <c r="E175" s="18" t="s">
        <v>1096</v>
      </c>
      <c r="F175" s="18" t="s">
        <v>301</v>
      </c>
      <c r="G175" s="17" t="s">
        <v>297</v>
      </c>
      <c r="H175" s="19" t="s">
        <v>95</v>
      </c>
      <c r="I175" s="19"/>
      <c r="J175" s="20" t="str">
        <f t="shared" si="2"/>
        <v/>
      </c>
      <c r="K175" s="20" t="str">
        <f>IF(G175="","",IF(COUNTIF('01_rules'!$A$2:$A$39,G175)=0,"rule 없음",""))</f>
        <v/>
      </c>
      <c r="L175" s="20" t="str">
        <f>IF(G175="","",IF(ISNUMBER(SEARCH(G175,IFERROR(VLOOKUP(C175,'03_units'!$B$2:$F$21,5,FALSE()),""))),"","unit 불일치"))</f>
        <v/>
      </c>
    </row>
    <row r="176" spans="1:12" ht="15" customHeight="1">
      <c r="A176" s="17" t="s">
        <v>1097</v>
      </c>
      <c r="B176" s="17">
        <v>5</v>
      </c>
      <c r="C176" s="17" t="s">
        <v>189</v>
      </c>
      <c r="D176" s="17" t="s">
        <v>1098</v>
      </c>
      <c r="E176" s="18" t="s">
        <v>1099</v>
      </c>
      <c r="F176" s="18" t="s">
        <v>91</v>
      </c>
      <c r="G176" s="17" t="s">
        <v>87</v>
      </c>
      <c r="H176" s="19" t="s">
        <v>95</v>
      </c>
      <c r="I176" s="19"/>
      <c r="J176" s="20" t="str">
        <f t="shared" si="2"/>
        <v/>
      </c>
      <c r="K176" s="20" t="str">
        <f>IF(G176="","",IF(COUNTIF('01_rules'!$A$2:$A$39,G176)=0,"rule 없음",""))</f>
        <v/>
      </c>
      <c r="L176" s="20" t="str">
        <f>IF(G176="","",IF(ISNUMBER(SEARCH(G176,IFERROR(VLOOKUP(C176,'03_units'!$B$2:$F$21,5,FALSE()),""))),"","unit 불일치"))</f>
        <v/>
      </c>
    </row>
    <row r="177" spans="1:12" ht="15" customHeight="1">
      <c r="A177" s="17" t="s">
        <v>1100</v>
      </c>
      <c r="B177" s="17">
        <v>6</v>
      </c>
      <c r="C177" s="17" t="s">
        <v>189</v>
      </c>
      <c r="D177" s="17" t="s">
        <v>1101</v>
      </c>
      <c r="E177" s="18" t="s">
        <v>1102</v>
      </c>
      <c r="F177" s="18" t="s">
        <v>313</v>
      </c>
      <c r="G177" s="17" t="s">
        <v>310</v>
      </c>
      <c r="H177" s="19" t="s">
        <v>95</v>
      </c>
      <c r="I177" s="19"/>
      <c r="J177" s="20" t="str">
        <f t="shared" si="2"/>
        <v/>
      </c>
      <c r="K177" s="20" t="str">
        <f>IF(G177="","",IF(COUNTIF('01_rules'!$A$2:$A$39,G177)=0,"rule 없음",""))</f>
        <v/>
      </c>
      <c r="L177" s="20" t="str">
        <f>IF(G177="","",IF(ISNUMBER(SEARCH(G177,IFERROR(VLOOKUP(C177,'03_units'!$B$2:$F$21,5,FALSE()),""))),"","unit 불일치"))</f>
        <v/>
      </c>
    </row>
    <row r="178" spans="1:12" ht="15" customHeight="1">
      <c r="A178" s="17" t="s">
        <v>1103</v>
      </c>
      <c r="B178" s="17">
        <v>6</v>
      </c>
      <c r="C178" s="17" t="s">
        <v>189</v>
      </c>
      <c r="D178" s="17" t="s">
        <v>1104</v>
      </c>
      <c r="E178" s="18" t="s">
        <v>1105</v>
      </c>
      <c r="F178" s="18" t="s">
        <v>336</v>
      </c>
      <c r="G178" s="17" t="s">
        <v>334</v>
      </c>
      <c r="H178" s="19" t="s">
        <v>95</v>
      </c>
      <c r="I178" s="19"/>
      <c r="J178" s="20" t="str">
        <f t="shared" si="2"/>
        <v/>
      </c>
      <c r="K178" s="20" t="str">
        <f>IF(G178="","",IF(COUNTIF('01_rules'!$A$2:$A$39,G178)=0,"rule 없음",""))</f>
        <v/>
      </c>
      <c r="L178" s="20" t="str">
        <f>IF(G178="","",IF(ISNUMBER(SEARCH(G178,IFERROR(VLOOKUP(C178,'03_units'!$B$2:$F$21,5,FALSE()),""))),"","unit 불일치"))</f>
        <v/>
      </c>
    </row>
    <row r="179" spans="1:12" ht="15" customHeight="1">
      <c r="A179" s="17" t="s">
        <v>1106</v>
      </c>
      <c r="B179" s="17">
        <v>6</v>
      </c>
      <c r="C179" s="17" t="s">
        <v>189</v>
      </c>
      <c r="D179" s="17" t="s">
        <v>1107</v>
      </c>
      <c r="E179" s="18" t="s">
        <v>1108</v>
      </c>
      <c r="F179" s="18" t="s">
        <v>91</v>
      </c>
      <c r="G179" s="17" t="s">
        <v>87</v>
      </c>
      <c r="H179" s="19" t="s">
        <v>95</v>
      </c>
      <c r="I179" s="19"/>
      <c r="J179" s="20" t="str">
        <f t="shared" si="2"/>
        <v/>
      </c>
      <c r="K179" s="20" t="str">
        <f>IF(G179="","",IF(COUNTIF('01_rules'!$A$2:$A$39,G179)=0,"rule 없음",""))</f>
        <v/>
      </c>
      <c r="L179" s="20" t="str">
        <f>IF(G179="","",IF(ISNUMBER(SEARCH(G179,IFERROR(VLOOKUP(C179,'03_units'!$B$2:$F$21,5,FALSE()),""))),"","unit 불일치"))</f>
        <v/>
      </c>
    </row>
    <row r="180" spans="1:12" ht="23.25" customHeight="1">
      <c r="A180" s="17" t="s">
        <v>1109</v>
      </c>
      <c r="B180" s="17">
        <v>6</v>
      </c>
      <c r="C180" s="17" t="s">
        <v>189</v>
      </c>
      <c r="D180" s="17" t="s">
        <v>1110</v>
      </c>
      <c r="E180" s="18" t="s">
        <v>1111</v>
      </c>
      <c r="F180" s="18" t="s">
        <v>91</v>
      </c>
      <c r="G180" s="17" t="s">
        <v>87</v>
      </c>
      <c r="H180" s="19" t="s">
        <v>95</v>
      </c>
      <c r="I180" s="19"/>
      <c r="J180" s="20" t="str">
        <f t="shared" si="2"/>
        <v/>
      </c>
      <c r="K180" s="20" t="str">
        <f>IF(G180="","",IF(COUNTIF('01_rules'!$A$2:$A$39,G180)=0,"rule 없음",""))</f>
        <v/>
      </c>
      <c r="L180" s="20" t="str">
        <f>IF(G180="","",IF(ISNUMBER(SEARCH(G180,IFERROR(VLOOKUP(C180,'03_units'!$B$2:$F$21,5,FALSE()),""))),"","unit 불일치"))</f>
        <v/>
      </c>
    </row>
    <row r="181" spans="1:12" ht="29.25" customHeight="1">
      <c r="A181" s="17" t="s">
        <v>1112</v>
      </c>
      <c r="B181" s="17">
        <v>6</v>
      </c>
      <c r="C181" s="17" t="s">
        <v>189</v>
      </c>
      <c r="D181" s="17" t="s">
        <v>1113</v>
      </c>
      <c r="E181" s="18" t="s">
        <v>1114</v>
      </c>
      <c r="F181" s="18" t="s">
        <v>336</v>
      </c>
      <c r="G181" s="17" t="s">
        <v>334</v>
      </c>
      <c r="H181" s="19" t="s">
        <v>95</v>
      </c>
      <c r="I181" s="19"/>
      <c r="J181" s="20" t="str">
        <f t="shared" si="2"/>
        <v/>
      </c>
      <c r="K181" s="20" t="str">
        <f>IF(G181="","",IF(COUNTIF('01_rules'!$A$2:$A$39,G181)=0,"rule 없음",""))</f>
        <v/>
      </c>
      <c r="L181" s="20" t="str">
        <f>IF(G181="","",IF(ISNUMBER(SEARCH(G181,IFERROR(VLOOKUP(C181,'03_units'!$B$2:$F$21,5,FALSE()),""))),"","unit 불일치"))</f>
        <v/>
      </c>
    </row>
    <row r="182" spans="1:12" ht="15" customHeight="1">
      <c r="A182" s="17" t="s">
        <v>1115</v>
      </c>
      <c r="B182" s="17">
        <v>3</v>
      </c>
      <c r="C182" s="17" t="s">
        <v>196</v>
      </c>
      <c r="D182" s="17" t="s">
        <v>1116</v>
      </c>
      <c r="E182" s="18" t="s">
        <v>1117</v>
      </c>
      <c r="F182" s="18" t="s">
        <v>198</v>
      </c>
      <c r="G182" s="17" t="s">
        <v>194</v>
      </c>
      <c r="H182" s="19" t="s">
        <v>95</v>
      </c>
      <c r="I182" s="19"/>
      <c r="J182" s="20" t="str">
        <f t="shared" si="2"/>
        <v/>
      </c>
      <c r="K182" s="20" t="str">
        <f>IF(G182="","",IF(COUNTIF('01_rules'!$A$2:$A$39,G182)=0,"rule 없음",""))</f>
        <v/>
      </c>
      <c r="L182" s="20" t="str">
        <f>IF(G182="","",IF(ISNUMBER(SEARCH(G182,IFERROR(VLOOKUP(C182,'03_units'!$B$2:$F$21,5,FALSE()),""))),"","unit 불일치"))</f>
        <v/>
      </c>
    </row>
    <row r="183" spans="1:12" ht="15" customHeight="1">
      <c r="A183" s="17" t="s">
        <v>1118</v>
      </c>
      <c r="B183" s="17">
        <v>3</v>
      </c>
      <c r="C183" s="17" t="s">
        <v>196</v>
      </c>
      <c r="D183" s="17" t="s">
        <v>1119</v>
      </c>
      <c r="E183" s="18" t="s">
        <v>1120</v>
      </c>
      <c r="F183" s="18" t="s">
        <v>326</v>
      </c>
      <c r="G183" s="17" t="s">
        <v>323</v>
      </c>
      <c r="H183" s="19" t="s">
        <v>95</v>
      </c>
      <c r="I183" s="19"/>
      <c r="J183" s="20" t="str">
        <f t="shared" si="2"/>
        <v/>
      </c>
      <c r="K183" s="20" t="str">
        <f>IF(G183="","",IF(COUNTIF('01_rules'!$A$2:$A$39,G183)=0,"rule 없음",""))</f>
        <v/>
      </c>
      <c r="L183" s="20" t="str">
        <f>IF(G183="","",IF(ISNUMBER(SEARCH(G183,IFERROR(VLOOKUP(C183,'03_units'!$B$2:$F$21,5,FALSE()),""))),"","unit 불일치"))</f>
        <v/>
      </c>
    </row>
    <row r="184" spans="1:12" ht="15" customHeight="1">
      <c r="A184" s="17" t="s">
        <v>1121</v>
      </c>
      <c r="B184" s="17">
        <v>3</v>
      </c>
      <c r="C184" s="17" t="s">
        <v>196</v>
      </c>
      <c r="D184" s="17" t="s">
        <v>1122</v>
      </c>
      <c r="E184" s="18" t="s">
        <v>1123</v>
      </c>
      <c r="F184" s="18" t="s">
        <v>326</v>
      </c>
      <c r="G184" s="17" t="s">
        <v>323</v>
      </c>
      <c r="H184" s="19" t="s">
        <v>95</v>
      </c>
      <c r="I184" s="19"/>
      <c r="J184" s="20" t="str">
        <f t="shared" si="2"/>
        <v/>
      </c>
      <c r="K184" s="20" t="str">
        <f>IF(G184="","",IF(COUNTIF('01_rules'!$A$2:$A$39,G184)=0,"rule 없음",""))</f>
        <v/>
      </c>
      <c r="L184" s="20" t="str">
        <f>IF(G184="","",IF(ISNUMBER(SEARCH(G184,IFERROR(VLOOKUP(C184,'03_units'!$B$2:$F$21,5,FALSE()),""))),"","unit 불일치"))</f>
        <v/>
      </c>
    </row>
    <row r="185" spans="1:12" ht="15" customHeight="1">
      <c r="A185" s="17" t="s">
        <v>1124</v>
      </c>
      <c r="B185" s="17">
        <v>3</v>
      </c>
      <c r="C185" s="17" t="s">
        <v>196</v>
      </c>
      <c r="D185" s="17" t="s">
        <v>1125</v>
      </c>
      <c r="E185" s="18" t="s">
        <v>1126</v>
      </c>
      <c r="F185" s="18" t="s">
        <v>336</v>
      </c>
      <c r="G185" s="17" t="s">
        <v>334</v>
      </c>
      <c r="H185" s="19" t="s">
        <v>95</v>
      </c>
      <c r="I185" s="19"/>
      <c r="J185" s="20" t="str">
        <f t="shared" si="2"/>
        <v/>
      </c>
      <c r="K185" s="20" t="str">
        <f>IF(G185="","",IF(COUNTIF('01_rules'!$A$2:$A$39,G185)=0,"rule 없음",""))</f>
        <v/>
      </c>
      <c r="L185" s="20" t="str">
        <f>IF(G185="","",IF(ISNUMBER(SEARCH(G185,IFERROR(VLOOKUP(C185,'03_units'!$B$2:$F$21,5,FALSE()),""))),"","unit 불일치"))</f>
        <v/>
      </c>
    </row>
    <row r="186" spans="1:12" ht="15" customHeight="1">
      <c r="A186" s="17" t="s">
        <v>1127</v>
      </c>
      <c r="B186" s="17">
        <v>3</v>
      </c>
      <c r="C186" s="17" t="s">
        <v>196</v>
      </c>
      <c r="D186" s="17" t="s">
        <v>1128</v>
      </c>
      <c r="E186" s="18" t="s">
        <v>1129</v>
      </c>
      <c r="F186" s="18" t="s">
        <v>326</v>
      </c>
      <c r="G186" s="17" t="s">
        <v>323</v>
      </c>
      <c r="H186" s="19" t="s">
        <v>95</v>
      </c>
      <c r="I186" s="19"/>
      <c r="J186" s="20" t="str">
        <f t="shared" si="2"/>
        <v/>
      </c>
      <c r="K186" s="20" t="str">
        <f>IF(G186="","",IF(COUNTIF('01_rules'!$A$2:$A$39,G186)=0,"rule 없음",""))</f>
        <v/>
      </c>
      <c r="L186" s="20" t="str">
        <f>IF(G186="","",IF(ISNUMBER(SEARCH(G186,IFERROR(VLOOKUP(C186,'03_units'!$B$2:$F$21,5,FALSE()),""))),"","unit 불일치"))</f>
        <v/>
      </c>
    </row>
    <row r="187" spans="1:12" ht="15" customHeight="1">
      <c r="A187" s="17" t="s">
        <v>1130</v>
      </c>
      <c r="B187" s="17">
        <v>4</v>
      </c>
      <c r="C187" s="17" t="s">
        <v>196</v>
      </c>
      <c r="D187" s="17" t="s">
        <v>1131</v>
      </c>
      <c r="E187" s="18" t="s">
        <v>1132</v>
      </c>
      <c r="F187" s="18" t="s">
        <v>198</v>
      </c>
      <c r="G187" s="17" t="s">
        <v>194</v>
      </c>
      <c r="H187" s="19" t="s">
        <v>95</v>
      </c>
      <c r="I187" s="19"/>
      <c r="J187" s="20" t="str">
        <f t="shared" si="2"/>
        <v/>
      </c>
      <c r="K187" s="20" t="str">
        <f>IF(G187="","",IF(COUNTIF('01_rules'!$A$2:$A$39,G187)=0,"rule 없음",""))</f>
        <v/>
      </c>
      <c r="L187" s="20" t="str">
        <f>IF(G187="","",IF(ISNUMBER(SEARCH(G187,IFERROR(VLOOKUP(C187,'03_units'!$B$2:$F$21,5,FALSE()),""))),"","unit 불일치"))</f>
        <v/>
      </c>
    </row>
    <row r="188" spans="1:12" ht="15" customHeight="1">
      <c r="A188" s="17" t="s">
        <v>1133</v>
      </c>
      <c r="B188" s="17">
        <v>4</v>
      </c>
      <c r="C188" s="17" t="s">
        <v>196</v>
      </c>
      <c r="D188" s="17" t="s">
        <v>1134</v>
      </c>
      <c r="E188" s="18" t="s">
        <v>1135</v>
      </c>
      <c r="F188" s="18" t="s">
        <v>198</v>
      </c>
      <c r="G188" s="17" t="s">
        <v>194</v>
      </c>
      <c r="H188" s="19" t="s">
        <v>95</v>
      </c>
      <c r="I188" s="19"/>
      <c r="J188" s="20" t="str">
        <f t="shared" si="2"/>
        <v/>
      </c>
      <c r="K188" s="20" t="str">
        <f>IF(G188="","",IF(COUNTIF('01_rules'!$A$2:$A$39,G188)=0,"rule 없음",""))</f>
        <v/>
      </c>
      <c r="L188" s="20" t="str">
        <f>IF(G188="","",IF(ISNUMBER(SEARCH(G188,IFERROR(VLOOKUP(C188,'03_units'!$B$2:$F$21,5,FALSE()),""))),"","unit 불일치"))</f>
        <v/>
      </c>
    </row>
    <row r="189" spans="1:12" ht="29.25" customHeight="1">
      <c r="A189" s="17" t="s">
        <v>1136</v>
      </c>
      <c r="B189" s="17">
        <v>4</v>
      </c>
      <c r="C189" s="17" t="s">
        <v>196</v>
      </c>
      <c r="D189" s="17" t="s">
        <v>1137</v>
      </c>
      <c r="E189" s="18" t="s">
        <v>1138</v>
      </c>
      <c r="F189" s="18" t="s">
        <v>198</v>
      </c>
      <c r="G189" s="17" t="s">
        <v>194</v>
      </c>
      <c r="H189" s="19" t="s">
        <v>95</v>
      </c>
      <c r="I189" s="19"/>
      <c r="J189" s="20" t="str">
        <f t="shared" si="2"/>
        <v/>
      </c>
      <c r="K189" s="20" t="str">
        <f>IF(G189="","",IF(COUNTIF('01_rules'!$A$2:$A$39,G189)=0,"rule 없음",""))</f>
        <v/>
      </c>
      <c r="L189" s="20" t="str">
        <f>IF(G189="","",IF(ISNUMBER(SEARCH(G189,IFERROR(VLOOKUP(C189,'03_units'!$B$2:$F$21,5,FALSE()),""))),"","unit 불일치"))</f>
        <v/>
      </c>
    </row>
    <row r="190" spans="1:12" ht="15" customHeight="1">
      <c r="A190" s="17" t="s">
        <v>1139</v>
      </c>
      <c r="B190" s="17">
        <v>4</v>
      </c>
      <c r="C190" s="17" t="s">
        <v>196</v>
      </c>
      <c r="D190" s="17" t="s">
        <v>1140</v>
      </c>
      <c r="E190" s="18" t="s">
        <v>1141</v>
      </c>
      <c r="F190" s="18" t="s">
        <v>198</v>
      </c>
      <c r="G190" s="17" t="s">
        <v>194</v>
      </c>
      <c r="H190" s="19" t="s">
        <v>95</v>
      </c>
      <c r="I190" s="19"/>
      <c r="J190" s="20" t="str">
        <f t="shared" si="2"/>
        <v/>
      </c>
      <c r="K190" s="20" t="str">
        <f>IF(G190="","",IF(COUNTIF('01_rules'!$A$2:$A$39,G190)=0,"rule 없음",""))</f>
        <v/>
      </c>
      <c r="L190" s="20" t="str">
        <f>IF(G190="","",IF(ISNUMBER(SEARCH(G190,IFERROR(VLOOKUP(C190,'03_units'!$B$2:$F$21,5,FALSE()),""))),"","unit 불일치"))</f>
        <v/>
      </c>
    </row>
    <row r="191" spans="1:12" ht="15" customHeight="1">
      <c r="A191" s="17" t="s">
        <v>1142</v>
      </c>
      <c r="B191" s="17">
        <v>4</v>
      </c>
      <c r="C191" s="17" t="s">
        <v>196</v>
      </c>
      <c r="D191" s="17" t="s">
        <v>1143</v>
      </c>
      <c r="E191" s="18" t="s">
        <v>1144</v>
      </c>
      <c r="F191" s="18" t="s">
        <v>336</v>
      </c>
      <c r="G191" s="17" t="s">
        <v>334</v>
      </c>
      <c r="H191" s="19" t="s">
        <v>95</v>
      </c>
      <c r="I191" s="19"/>
      <c r="J191" s="20" t="str">
        <f t="shared" si="2"/>
        <v/>
      </c>
      <c r="K191" s="20" t="str">
        <f>IF(G191="","",IF(COUNTIF('01_rules'!$A$2:$A$39,G191)=0,"rule 없음",""))</f>
        <v/>
      </c>
      <c r="L191" s="20" t="str">
        <f>IF(G191="","",IF(ISNUMBER(SEARCH(G191,IFERROR(VLOOKUP(C191,'03_units'!$B$2:$F$21,5,FALSE()),""))),"","unit 불일치"))</f>
        <v/>
      </c>
    </row>
    <row r="192" spans="1:12" ht="15" customHeight="1">
      <c r="A192" s="17" t="s">
        <v>1145</v>
      </c>
      <c r="B192" s="17">
        <v>5</v>
      </c>
      <c r="C192" s="17" t="s">
        <v>196</v>
      </c>
      <c r="D192" s="17" t="s">
        <v>1146</v>
      </c>
      <c r="E192" s="18" t="s">
        <v>1147</v>
      </c>
      <c r="F192" s="18" t="s">
        <v>336</v>
      </c>
      <c r="G192" s="17" t="s">
        <v>334</v>
      </c>
      <c r="H192" s="19" t="s">
        <v>95</v>
      </c>
      <c r="I192" s="19"/>
      <c r="J192" s="20" t="str">
        <f t="shared" si="2"/>
        <v/>
      </c>
      <c r="K192" s="20" t="str">
        <f>IF(G192="","",IF(COUNTIF('01_rules'!$A$2:$A$39,G192)=0,"rule 없음",""))</f>
        <v/>
      </c>
      <c r="L192" s="20" t="str">
        <f>IF(G192="","",IF(ISNUMBER(SEARCH(G192,IFERROR(VLOOKUP(C192,'03_units'!$B$2:$F$21,5,FALSE()),""))),"","unit 불일치"))</f>
        <v/>
      </c>
    </row>
    <row r="193" spans="1:12" ht="15" customHeight="1">
      <c r="A193" s="17" t="s">
        <v>1148</v>
      </c>
      <c r="B193" s="17">
        <v>5</v>
      </c>
      <c r="C193" s="17" t="s">
        <v>196</v>
      </c>
      <c r="D193" s="17" t="s">
        <v>1149</v>
      </c>
      <c r="E193" s="18" t="s">
        <v>1150</v>
      </c>
      <c r="F193" s="18" t="s">
        <v>336</v>
      </c>
      <c r="G193" s="17" t="s">
        <v>334</v>
      </c>
      <c r="H193" s="19" t="s">
        <v>95</v>
      </c>
      <c r="I193" s="19"/>
      <c r="J193" s="20" t="str">
        <f t="shared" si="2"/>
        <v/>
      </c>
      <c r="K193" s="20" t="str">
        <f>IF(G193="","",IF(COUNTIF('01_rules'!$A$2:$A$39,G193)=0,"rule 없음",""))</f>
        <v/>
      </c>
      <c r="L193" s="20" t="str">
        <f>IF(G193="","",IF(ISNUMBER(SEARCH(G193,IFERROR(VLOOKUP(C193,'03_units'!$B$2:$F$21,5,FALSE()),""))),"","unit 불일치"))</f>
        <v/>
      </c>
    </row>
    <row r="194" spans="1:12" ht="15" customHeight="1">
      <c r="A194" s="17" t="s">
        <v>1151</v>
      </c>
      <c r="B194" s="17">
        <v>5</v>
      </c>
      <c r="C194" s="17" t="s">
        <v>196</v>
      </c>
      <c r="D194" s="17" t="s">
        <v>1152</v>
      </c>
      <c r="E194" s="18" t="s">
        <v>1153</v>
      </c>
      <c r="F194" s="18" t="s">
        <v>336</v>
      </c>
      <c r="G194" s="17" t="s">
        <v>334</v>
      </c>
      <c r="H194" s="19" t="s">
        <v>95</v>
      </c>
      <c r="I194" s="19"/>
      <c r="J194" s="20" t="str">
        <f t="shared" ref="J194:J257" si="3">IF(A194="","",IF(COUNTIF($A$2:$A$401,A194)&gt;1,"중복",""))</f>
        <v/>
      </c>
      <c r="K194" s="20" t="str">
        <f>IF(G194="","",IF(COUNTIF('01_rules'!$A$2:$A$39,G194)=0,"rule 없음",""))</f>
        <v/>
      </c>
      <c r="L194" s="20" t="str">
        <f>IF(G194="","",IF(ISNUMBER(SEARCH(G194,IFERROR(VLOOKUP(C194,'03_units'!$B$2:$F$21,5,FALSE()),""))),"","unit 불일치"))</f>
        <v/>
      </c>
    </row>
    <row r="195" spans="1:12" ht="29.25" customHeight="1">
      <c r="A195" s="17" t="s">
        <v>1154</v>
      </c>
      <c r="B195" s="17">
        <v>5</v>
      </c>
      <c r="C195" s="17" t="s">
        <v>196</v>
      </c>
      <c r="D195" s="17" t="s">
        <v>1155</v>
      </c>
      <c r="E195" s="18" t="s">
        <v>1156</v>
      </c>
      <c r="F195" s="18" t="s">
        <v>336</v>
      </c>
      <c r="G195" s="17" t="s">
        <v>334</v>
      </c>
      <c r="H195" s="19" t="s">
        <v>95</v>
      </c>
      <c r="I195" s="19"/>
      <c r="J195" s="20" t="str">
        <f t="shared" si="3"/>
        <v/>
      </c>
      <c r="K195" s="20" t="str">
        <f>IF(G195="","",IF(COUNTIF('01_rules'!$A$2:$A$39,G195)=0,"rule 없음",""))</f>
        <v/>
      </c>
      <c r="L195" s="20" t="str">
        <f>IF(G195="","",IF(ISNUMBER(SEARCH(G195,IFERROR(VLOOKUP(C195,'03_units'!$B$2:$F$21,5,FALSE()),""))),"","unit 불일치"))</f>
        <v/>
      </c>
    </row>
    <row r="196" spans="1:12" ht="29.25" customHeight="1">
      <c r="A196" s="17" t="s">
        <v>1157</v>
      </c>
      <c r="B196" s="17">
        <v>5</v>
      </c>
      <c r="C196" s="17" t="s">
        <v>196</v>
      </c>
      <c r="D196" s="17" t="s">
        <v>1158</v>
      </c>
      <c r="E196" s="18" t="s">
        <v>1159</v>
      </c>
      <c r="F196" s="18" t="s">
        <v>336</v>
      </c>
      <c r="G196" s="17" t="s">
        <v>334</v>
      </c>
      <c r="H196" s="19" t="s">
        <v>95</v>
      </c>
      <c r="I196" s="19"/>
      <c r="J196" s="20" t="str">
        <f t="shared" si="3"/>
        <v/>
      </c>
      <c r="K196" s="20" t="str">
        <f>IF(G196="","",IF(COUNTIF('01_rules'!$A$2:$A$39,G196)=0,"rule 없음",""))</f>
        <v/>
      </c>
      <c r="L196" s="20" t="str">
        <f>IF(G196="","",IF(ISNUMBER(SEARCH(G196,IFERROR(VLOOKUP(C196,'03_units'!$B$2:$F$21,5,FALSE()),""))),"","unit 불일치"))</f>
        <v/>
      </c>
    </row>
    <row r="197" spans="1:12" ht="29.25" customHeight="1">
      <c r="A197" s="17" t="s">
        <v>1160</v>
      </c>
      <c r="B197" s="17">
        <v>6</v>
      </c>
      <c r="C197" s="17" t="s">
        <v>196</v>
      </c>
      <c r="D197" s="17" t="s">
        <v>1161</v>
      </c>
      <c r="E197" s="18" t="s">
        <v>1162</v>
      </c>
      <c r="F197" s="18" t="s">
        <v>336</v>
      </c>
      <c r="G197" s="17" t="s">
        <v>334</v>
      </c>
      <c r="H197" s="19" t="s">
        <v>95</v>
      </c>
      <c r="I197" s="19"/>
      <c r="J197" s="20" t="str">
        <f t="shared" si="3"/>
        <v/>
      </c>
      <c r="K197" s="20" t="str">
        <f>IF(G197="","",IF(COUNTIF('01_rules'!$A$2:$A$39,G197)=0,"rule 없음",""))</f>
        <v/>
      </c>
      <c r="L197" s="20" t="str">
        <f>IF(G197="","",IF(ISNUMBER(SEARCH(G197,IFERROR(VLOOKUP(C197,'03_units'!$B$2:$F$21,5,FALSE()),""))),"","unit 불일치"))</f>
        <v/>
      </c>
    </row>
    <row r="198" spans="1:12" ht="15" customHeight="1">
      <c r="A198" s="17" t="s">
        <v>1163</v>
      </c>
      <c r="B198" s="17">
        <v>6</v>
      </c>
      <c r="C198" s="17" t="s">
        <v>196</v>
      </c>
      <c r="D198" s="17" t="s">
        <v>1164</v>
      </c>
      <c r="E198" s="18" t="s">
        <v>1165</v>
      </c>
      <c r="F198" s="18" t="s">
        <v>336</v>
      </c>
      <c r="G198" s="17" t="s">
        <v>334</v>
      </c>
      <c r="H198" s="19" t="s">
        <v>95</v>
      </c>
      <c r="I198" s="19"/>
      <c r="J198" s="20" t="str">
        <f t="shared" si="3"/>
        <v/>
      </c>
      <c r="K198" s="20" t="str">
        <f>IF(G198="","",IF(COUNTIF('01_rules'!$A$2:$A$39,G198)=0,"rule 없음",""))</f>
        <v/>
      </c>
      <c r="L198" s="20" t="str">
        <f>IF(G198="","",IF(ISNUMBER(SEARCH(G198,IFERROR(VLOOKUP(C198,'03_units'!$B$2:$F$21,5,FALSE()),""))),"","unit 불일치"))</f>
        <v/>
      </c>
    </row>
    <row r="199" spans="1:12" ht="15" customHeight="1">
      <c r="A199" s="17" t="s">
        <v>1166</v>
      </c>
      <c r="B199" s="17">
        <v>6</v>
      </c>
      <c r="C199" s="17" t="s">
        <v>196</v>
      </c>
      <c r="D199" s="17" t="s">
        <v>1167</v>
      </c>
      <c r="E199" s="18" t="s">
        <v>1168</v>
      </c>
      <c r="F199" s="18" t="s">
        <v>313</v>
      </c>
      <c r="G199" s="17" t="s">
        <v>310</v>
      </c>
      <c r="H199" s="19" t="s">
        <v>95</v>
      </c>
      <c r="I199" s="19"/>
      <c r="J199" s="20" t="str">
        <f t="shared" si="3"/>
        <v/>
      </c>
      <c r="K199" s="20" t="str">
        <f>IF(G199="","",IF(COUNTIF('01_rules'!$A$2:$A$39,G199)=0,"rule 없음",""))</f>
        <v/>
      </c>
      <c r="L199" s="20" t="str">
        <f>IF(G199="","",IF(ISNUMBER(SEARCH(G199,IFERROR(VLOOKUP(C199,'03_units'!$B$2:$F$21,5,FALSE()),""))),"","unit 불일치"))</f>
        <v/>
      </c>
    </row>
    <row r="200" spans="1:12" ht="15" customHeight="1">
      <c r="A200" s="17" t="s">
        <v>1169</v>
      </c>
      <c r="B200" s="17">
        <v>6</v>
      </c>
      <c r="C200" s="17" t="s">
        <v>196</v>
      </c>
      <c r="D200" s="17" t="s">
        <v>1170</v>
      </c>
      <c r="E200" s="18" t="s">
        <v>1171</v>
      </c>
      <c r="F200" s="18" t="s">
        <v>336</v>
      </c>
      <c r="G200" s="17" t="s">
        <v>334</v>
      </c>
      <c r="H200" s="19" t="s">
        <v>95</v>
      </c>
      <c r="I200" s="19"/>
      <c r="J200" s="20" t="str">
        <f t="shared" si="3"/>
        <v/>
      </c>
      <c r="K200" s="20" t="str">
        <f>IF(G200="","",IF(COUNTIF('01_rules'!$A$2:$A$39,G200)=0,"rule 없음",""))</f>
        <v/>
      </c>
      <c r="L200" s="20" t="str">
        <f>IF(G200="","",IF(ISNUMBER(SEARCH(G200,IFERROR(VLOOKUP(C200,'03_units'!$B$2:$F$21,5,FALSE()),""))),"","unit 불일치"))</f>
        <v/>
      </c>
    </row>
    <row r="201" spans="1:12" ht="15" customHeight="1">
      <c r="A201" s="17" t="s">
        <v>1172</v>
      </c>
      <c r="B201" s="17">
        <v>6</v>
      </c>
      <c r="C201" s="17" t="s">
        <v>196</v>
      </c>
      <c r="D201" s="17" t="s">
        <v>1173</v>
      </c>
      <c r="E201" s="18" t="s">
        <v>1174</v>
      </c>
      <c r="F201" s="18" t="s">
        <v>336</v>
      </c>
      <c r="G201" s="17" t="s">
        <v>334</v>
      </c>
      <c r="H201" s="19" t="s">
        <v>95</v>
      </c>
      <c r="I201" s="19"/>
      <c r="J201" s="20" t="str">
        <f t="shared" si="3"/>
        <v/>
      </c>
      <c r="K201" s="20" t="str">
        <f>IF(G201="","",IF(COUNTIF('01_rules'!$A$2:$A$39,G201)=0,"rule 없음",""))</f>
        <v/>
      </c>
      <c r="L201" s="20" t="str">
        <f>IF(G201="","",IF(ISNUMBER(SEARCH(G201,IFERROR(VLOOKUP(C201,'03_units'!$B$2:$F$21,5,FALSE()),""))),"","unit 불일치"))</f>
        <v/>
      </c>
    </row>
    <row r="202" spans="1:12" ht="15" customHeight="1">
      <c r="A202" s="17" t="s">
        <v>1175</v>
      </c>
      <c r="B202" s="17">
        <v>3</v>
      </c>
      <c r="C202" s="17" t="s">
        <v>203</v>
      </c>
      <c r="D202" s="17" t="s">
        <v>1176</v>
      </c>
      <c r="E202" s="18" t="s">
        <v>1177</v>
      </c>
      <c r="F202" s="18" t="s">
        <v>205</v>
      </c>
      <c r="G202" s="17" t="s">
        <v>201</v>
      </c>
      <c r="H202" s="19" t="s">
        <v>95</v>
      </c>
      <c r="I202" s="19"/>
      <c r="J202" s="20" t="str">
        <f t="shared" si="3"/>
        <v/>
      </c>
      <c r="K202" s="20" t="str">
        <f>IF(G202="","",IF(COUNTIF('01_rules'!$A$2:$A$39,G202)=0,"rule 없음",""))</f>
        <v/>
      </c>
      <c r="L202" s="20" t="str">
        <f>IF(G202="","",IF(ISNUMBER(SEARCH(G202,IFERROR(VLOOKUP(C202,'03_units'!$B$2:$F$21,5,FALSE()),""))),"","unit 불일치"))</f>
        <v/>
      </c>
    </row>
    <row r="203" spans="1:12" ht="15" customHeight="1">
      <c r="A203" s="17" t="s">
        <v>1178</v>
      </c>
      <c r="B203" s="17">
        <v>3</v>
      </c>
      <c r="C203" s="17" t="s">
        <v>203</v>
      </c>
      <c r="D203" s="17" t="s">
        <v>1179</v>
      </c>
      <c r="E203" s="18" t="s">
        <v>1180</v>
      </c>
      <c r="F203" s="18" t="s">
        <v>205</v>
      </c>
      <c r="G203" s="17" t="s">
        <v>201</v>
      </c>
      <c r="H203" s="19" t="s">
        <v>95</v>
      </c>
      <c r="I203" s="19"/>
      <c r="J203" s="20" t="str">
        <f t="shared" si="3"/>
        <v/>
      </c>
      <c r="K203" s="20" t="str">
        <f>IF(G203="","",IF(COUNTIF('01_rules'!$A$2:$A$39,G203)=0,"rule 없음",""))</f>
        <v/>
      </c>
      <c r="L203" s="20" t="str">
        <f>IF(G203="","",IF(ISNUMBER(SEARCH(G203,IFERROR(VLOOKUP(C203,'03_units'!$B$2:$F$21,5,FALSE()),""))),"","unit 불일치"))</f>
        <v/>
      </c>
    </row>
    <row r="204" spans="1:12" ht="15" customHeight="1">
      <c r="A204" s="17" t="s">
        <v>1181</v>
      </c>
      <c r="B204" s="17">
        <v>3</v>
      </c>
      <c r="C204" s="17" t="s">
        <v>203</v>
      </c>
      <c r="D204" s="17" t="s">
        <v>1182</v>
      </c>
      <c r="E204" s="18" t="s">
        <v>1183</v>
      </c>
      <c r="F204" s="18" t="s">
        <v>205</v>
      </c>
      <c r="G204" s="17" t="s">
        <v>201</v>
      </c>
      <c r="H204" s="19" t="s">
        <v>95</v>
      </c>
      <c r="I204" s="19"/>
      <c r="J204" s="20" t="str">
        <f t="shared" si="3"/>
        <v/>
      </c>
      <c r="K204" s="20" t="str">
        <f>IF(G204="","",IF(COUNTIF('01_rules'!$A$2:$A$39,G204)=0,"rule 없음",""))</f>
        <v/>
      </c>
      <c r="L204" s="20" t="str">
        <f>IF(G204="","",IF(ISNUMBER(SEARCH(G204,IFERROR(VLOOKUP(C204,'03_units'!$B$2:$F$21,5,FALSE()),""))),"","unit 불일치"))</f>
        <v/>
      </c>
    </row>
    <row r="205" spans="1:12" ht="15" customHeight="1">
      <c r="A205" s="17" t="s">
        <v>1184</v>
      </c>
      <c r="B205" s="17">
        <v>3</v>
      </c>
      <c r="C205" s="17" t="s">
        <v>203</v>
      </c>
      <c r="D205" s="17" t="s">
        <v>1185</v>
      </c>
      <c r="E205" s="18" t="s">
        <v>1186</v>
      </c>
      <c r="F205" s="18" t="s">
        <v>205</v>
      </c>
      <c r="G205" s="17" t="s">
        <v>201</v>
      </c>
      <c r="H205" s="19" t="s">
        <v>95</v>
      </c>
      <c r="I205" s="19"/>
      <c r="J205" s="20" t="str">
        <f t="shared" si="3"/>
        <v/>
      </c>
      <c r="K205" s="20" t="str">
        <f>IF(G205="","",IF(COUNTIF('01_rules'!$A$2:$A$39,G205)=0,"rule 없음",""))</f>
        <v/>
      </c>
      <c r="L205" s="20" t="str">
        <f>IF(G205="","",IF(ISNUMBER(SEARCH(G205,IFERROR(VLOOKUP(C205,'03_units'!$B$2:$F$21,5,FALSE()),""))),"","unit 불일치"))</f>
        <v/>
      </c>
    </row>
    <row r="206" spans="1:12" ht="15" customHeight="1">
      <c r="A206" s="17" t="s">
        <v>1187</v>
      </c>
      <c r="B206" s="17">
        <v>3</v>
      </c>
      <c r="C206" s="17" t="s">
        <v>203</v>
      </c>
      <c r="D206" s="17" t="s">
        <v>1188</v>
      </c>
      <c r="E206" s="18" t="s">
        <v>1189</v>
      </c>
      <c r="F206" s="18" t="s">
        <v>205</v>
      </c>
      <c r="G206" s="17" t="s">
        <v>201</v>
      </c>
      <c r="H206" s="19" t="s">
        <v>95</v>
      </c>
      <c r="I206" s="19"/>
      <c r="J206" s="20" t="str">
        <f t="shared" si="3"/>
        <v/>
      </c>
      <c r="K206" s="20" t="str">
        <f>IF(G206="","",IF(COUNTIF('01_rules'!$A$2:$A$39,G206)=0,"rule 없음",""))</f>
        <v/>
      </c>
      <c r="L206" s="20" t="str">
        <f>IF(G206="","",IF(ISNUMBER(SEARCH(G206,IFERROR(VLOOKUP(C206,'03_units'!$B$2:$F$21,5,FALSE()),""))),"","unit 불일치"))</f>
        <v/>
      </c>
    </row>
    <row r="207" spans="1:12" ht="15" customHeight="1">
      <c r="A207" s="17" t="s">
        <v>1190</v>
      </c>
      <c r="B207" s="17">
        <v>4</v>
      </c>
      <c r="C207" s="17" t="s">
        <v>203</v>
      </c>
      <c r="D207" s="17" t="s">
        <v>1191</v>
      </c>
      <c r="E207" s="18" t="s">
        <v>1192</v>
      </c>
      <c r="F207" s="18" t="s">
        <v>205</v>
      </c>
      <c r="G207" s="17" t="s">
        <v>201</v>
      </c>
      <c r="H207" s="19" t="s">
        <v>95</v>
      </c>
      <c r="I207" s="19"/>
      <c r="J207" s="20" t="str">
        <f t="shared" si="3"/>
        <v/>
      </c>
      <c r="K207" s="20" t="str">
        <f>IF(G207="","",IF(COUNTIF('01_rules'!$A$2:$A$39,G207)=0,"rule 없음",""))</f>
        <v/>
      </c>
      <c r="L207" s="20" t="str">
        <f>IF(G207="","",IF(ISNUMBER(SEARCH(G207,IFERROR(VLOOKUP(C207,'03_units'!$B$2:$F$21,5,FALSE()),""))),"","unit 불일치"))</f>
        <v/>
      </c>
    </row>
    <row r="208" spans="1:12" ht="15" customHeight="1">
      <c r="A208" s="17" t="s">
        <v>1193</v>
      </c>
      <c r="B208" s="17">
        <v>4</v>
      </c>
      <c r="C208" s="17" t="s">
        <v>203</v>
      </c>
      <c r="D208" s="17" t="s">
        <v>1194</v>
      </c>
      <c r="E208" s="18" t="s">
        <v>1195</v>
      </c>
      <c r="F208" s="18" t="s">
        <v>205</v>
      </c>
      <c r="G208" s="17" t="s">
        <v>201</v>
      </c>
      <c r="H208" s="19" t="s">
        <v>95</v>
      </c>
      <c r="I208" s="19"/>
      <c r="J208" s="20" t="str">
        <f t="shared" si="3"/>
        <v/>
      </c>
      <c r="K208" s="20" t="str">
        <f>IF(G208="","",IF(COUNTIF('01_rules'!$A$2:$A$39,G208)=0,"rule 없음",""))</f>
        <v/>
      </c>
      <c r="L208" s="20" t="str">
        <f>IF(G208="","",IF(ISNUMBER(SEARCH(G208,IFERROR(VLOOKUP(C208,'03_units'!$B$2:$F$21,5,FALSE()),""))),"","unit 불일치"))</f>
        <v/>
      </c>
    </row>
    <row r="209" spans="1:12" ht="15" customHeight="1">
      <c r="A209" s="17" t="s">
        <v>1196</v>
      </c>
      <c r="B209" s="17">
        <v>4</v>
      </c>
      <c r="C209" s="17" t="s">
        <v>203</v>
      </c>
      <c r="D209" s="17" t="s">
        <v>1197</v>
      </c>
      <c r="E209" s="18" t="s">
        <v>1198</v>
      </c>
      <c r="F209" s="18" t="s">
        <v>205</v>
      </c>
      <c r="G209" s="17" t="s">
        <v>201</v>
      </c>
      <c r="H209" s="19" t="s">
        <v>95</v>
      </c>
      <c r="I209" s="19"/>
      <c r="J209" s="20" t="str">
        <f t="shared" si="3"/>
        <v/>
      </c>
      <c r="K209" s="20" t="str">
        <f>IF(G209="","",IF(COUNTIF('01_rules'!$A$2:$A$39,G209)=0,"rule 없음",""))</f>
        <v/>
      </c>
      <c r="L209" s="20" t="str">
        <f>IF(G209="","",IF(ISNUMBER(SEARCH(G209,IFERROR(VLOOKUP(C209,'03_units'!$B$2:$F$21,5,FALSE()),""))),"","unit 불일치"))</f>
        <v/>
      </c>
    </row>
    <row r="210" spans="1:12" ht="15" customHeight="1">
      <c r="A210" s="17" t="s">
        <v>1199</v>
      </c>
      <c r="B210" s="17">
        <v>4</v>
      </c>
      <c r="C210" s="17" t="s">
        <v>203</v>
      </c>
      <c r="D210" s="17" t="s">
        <v>1200</v>
      </c>
      <c r="E210" s="18" t="s">
        <v>1201</v>
      </c>
      <c r="F210" s="18" t="s">
        <v>205</v>
      </c>
      <c r="G210" s="17" t="s">
        <v>201</v>
      </c>
      <c r="H210" s="19" t="s">
        <v>95</v>
      </c>
      <c r="I210" s="19"/>
      <c r="J210" s="20" t="str">
        <f t="shared" si="3"/>
        <v/>
      </c>
      <c r="K210" s="20" t="str">
        <f>IF(G210="","",IF(COUNTIF('01_rules'!$A$2:$A$39,G210)=0,"rule 없음",""))</f>
        <v/>
      </c>
      <c r="L210" s="20" t="str">
        <f>IF(G210="","",IF(ISNUMBER(SEARCH(G210,IFERROR(VLOOKUP(C210,'03_units'!$B$2:$F$21,5,FALSE()),""))),"","unit 불일치"))</f>
        <v/>
      </c>
    </row>
    <row r="211" spans="1:12" ht="15" customHeight="1">
      <c r="A211" s="17" t="s">
        <v>1202</v>
      </c>
      <c r="B211" s="17">
        <v>4</v>
      </c>
      <c r="C211" s="17" t="s">
        <v>203</v>
      </c>
      <c r="D211" s="17" t="s">
        <v>1203</v>
      </c>
      <c r="E211" s="18" t="s">
        <v>1204</v>
      </c>
      <c r="F211" s="18" t="s">
        <v>205</v>
      </c>
      <c r="G211" s="17" t="s">
        <v>201</v>
      </c>
      <c r="H211" s="19" t="s">
        <v>95</v>
      </c>
      <c r="I211" s="19"/>
      <c r="J211" s="20" t="str">
        <f t="shared" si="3"/>
        <v/>
      </c>
      <c r="K211" s="20" t="str">
        <f>IF(G211="","",IF(COUNTIF('01_rules'!$A$2:$A$39,G211)=0,"rule 없음",""))</f>
        <v/>
      </c>
      <c r="L211" s="20" t="str">
        <f>IF(G211="","",IF(ISNUMBER(SEARCH(G211,IFERROR(VLOOKUP(C211,'03_units'!$B$2:$F$21,5,FALSE()),""))),"","unit 불일치"))</f>
        <v/>
      </c>
    </row>
    <row r="212" spans="1:12" ht="15" customHeight="1">
      <c r="A212" s="17" t="s">
        <v>1205</v>
      </c>
      <c r="B212" s="17">
        <v>5</v>
      </c>
      <c r="C212" s="17" t="s">
        <v>203</v>
      </c>
      <c r="D212" s="17" t="s">
        <v>1206</v>
      </c>
      <c r="E212" s="18" t="s">
        <v>1207</v>
      </c>
      <c r="F212" s="18" t="s">
        <v>205</v>
      </c>
      <c r="G212" s="17" t="s">
        <v>201</v>
      </c>
      <c r="H212" s="19" t="s">
        <v>95</v>
      </c>
      <c r="I212" s="19"/>
      <c r="J212" s="20" t="str">
        <f t="shared" si="3"/>
        <v/>
      </c>
      <c r="K212" s="20" t="str">
        <f>IF(G212="","",IF(COUNTIF('01_rules'!$A$2:$A$39,G212)=0,"rule 없음",""))</f>
        <v/>
      </c>
      <c r="L212" s="20" t="str">
        <f>IF(G212="","",IF(ISNUMBER(SEARCH(G212,IFERROR(VLOOKUP(C212,'03_units'!$B$2:$F$21,5,FALSE()),""))),"","unit 불일치"))</f>
        <v/>
      </c>
    </row>
    <row r="213" spans="1:12" ht="15" customHeight="1">
      <c r="A213" s="17" t="s">
        <v>1208</v>
      </c>
      <c r="B213" s="17">
        <v>5</v>
      </c>
      <c r="C213" s="17" t="s">
        <v>203</v>
      </c>
      <c r="D213" s="17" t="s">
        <v>1209</v>
      </c>
      <c r="E213" s="18" t="s">
        <v>1210</v>
      </c>
      <c r="F213" s="18" t="s">
        <v>205</v>
      </c>
      <c r="G213" s="17" t="s">
        <v>201</v>
      </c>
      <c r="H213" s="19" t="s">
        <v>95</v>
      </c>
      <c r="I213" s="19"/>
      <c r="J213" s="20" t="str">
        <f t="shared" si="3"/>
        <v/>
      </c>
      <c r="K213" s="20" t="str">
        <f>IF(G213="","",IF(COUNTIF('01_rules'!$A$2:$A$39,G213)=0,"rule 없음",""))</f>
        <v/>
      </c>
      <c r="L213" s="20" t="str">
        <f>IF(G213="","",IF(ISNUMBER(SEARCH(G213,IFERROR(VLOOKUP(C213,'03_units'!$B$2:$F$21,5,FALSE()),""))),"","unit 불일치"))</f>
        <v/>
      </c>
    </row>
    <row r="214" spans="1:12" ht="15" customHeight="1">
      <c r="A214" s="17" t="s">
        <v>1211</v>
      </c>
      <c r="B214" s="17">
        <v>5</v>
      </c>
      <c r="C214" s="17" t="s">
        <v>203</v>
      </c>
      <c r="D214" s="17" t="s">
        <v>1212</v>
      </c>
      <c r="E214" s="18" t="s">
        <v>1213</v>
      </c>
      <c r="F214" s="18" t="s">
        <v>205</v>
      </c>
      <c r="G214" s="17" t="s">
        <v>201</v>
      </c>
      <c r="H214" s="19" t="s">
        <v>95</v>
      </c>
      <c r="I214" s="19"/>
      <c r="J214" s="20" t="str">
        <f t="shared" si="3"/>
        <v/>
      </c>
      <c r="K214" s="20" t="str">
        <f>IF(G214="","",IF(COUNTIF('01_rules'!$A$2:$A$39,G214)=0,"rule 없음",""))</f>
        <v/>
      </c>
      <c r="L214" s="20" t="str">
        <f>IF(G214="","",IF(ISNUMBER(SEARCH(G214,IFERROR(VLOOKUP(C214,'03_units'!$B$2:$F$21,5,FALSE()),""))),"","unit 불일치"))</f>
        <v/>
      </c>
    </row>
    <row r="215" spans="1:12" ht="15" customHeight="1">
      <c r="A215" s="17" t="s">
        <v>1214</v>
      </c>
      <c r="B215" s="17">
        <v>5</v>
      </c>
      <c r="C215" s="17" t="s">
        <v>203</v>
      </c>
      <c r="D215" s="17" t="s">
        <v>1215</v>
      </c>
      <c r="E215" s="18" t="s">
        <v>1216</v>
      </c>
      <c r="F215" s="18" t="s">
        <v>205</v>
      </c>
      <c r="G215" s="17" t="s">
        <v>201</v>
      </c>
      <c r="H215" s="19" t="s">
        <v>95</v>
      </c>
      <c r="I215" s="19"/>
      <c r="J215" s="20" t="str">
        <f t="shared" si="3"/>
        <v/>
      </c>
      <c r="K215" s="20" t="str">
        <f>IF(G215="","",IF(COUNTIF('01_rules'!$A$2:$A$39,G215)=0,"rule 없음",""))</f>
        <v/>
      </c>
      <c r="L215" s="20" t="str">
        <f>IF(G215="","",IF(ISNUMBER(SEARCH(G215,IFERROR(VLOOKUP(C215,'03_units'!$B$2:$F$21,5,FALSE()),""))),"","unit 불일치"))</f>
        <v/>
      </c>
    </row>
    <row r="216" spans="1:12" ht="15" customHeight="1">
      <c r="A216" s="17" t="s">
        <v>1217</v>
      </c>
      <c r="B216" s="17">
        <v>5</v>
      </c>
      <c r="C216" s="17" t="s">
        <v>203</v>
      </c>
      <c r="D216" s="17" t="s">
        <v>1218</v>
      </c>
      <c r="E216" s="18" t="s">
        <v>1219</v>
      </c>
      <c r="F216" s="18" t="s">
        <v>205</v>
      </c>
      <c r="G216" s="17" t="s">
        <v>201</v>
      </c>
      <c r="H216" s="19" t="s">
        <v>95</v>
      </c>
      <c r="I216" s="19"/>
      <c r="J216" s="20" t="str">
        <f t="shared" si="3"/>
        <v/>
      </c>
      <c r="K216" s="20" t="str">
        <f>IF(G216="","",IF(COUNTIF('01_rules'!$A$2:$A$39,G216)=0,"rule 없음",""))</f>
        <v/>
      </c>
      <c r="L216" s="20" t="str">
        <f>IF(G216="","",IF(ISNUMBER(SEARCH(G216,IFERROR(VLOOKUP(C216,'03_units'!$B$2:$F$21,5,FALSE()),""))),"","unit 불일치"))</f>
        <v/>
      </c>
    </row>
    <row r="217" spans="1:12" ht="15" customHeight="1">
      <c r="A217" s="17" t="s">
        <v>1220</v>
      </c>
      <c r="B217" s="17">
        <v>6</v>
      </c>
      <c r="C217" s="17" t="s">
        <v>203</v>
      </c>
      <c r="D217" s="17" t="s">
        <v>1221</v>
      </c>
      <c r="E217" s="18" t="s">
        <v>1222</v>
      </c>
      <c r="F217" s="18" t="s">
        <v>336</v>
      </c>
      <c r="G217" s="17" t="s">
        <v>334</v>
      </c>
      <c r="H217" s="19" t="s">
        <v>95</v>
      </c>
      <c r="I217" s="19"/>
      <c r="J217" s="20" t="str">
        <f t="shared" si="3"/>
        <v/>
      </c>
      <c r="K217" s="20" t="str">
        <f>IF(G217="","",IF(COUNTIF('01_rules'!$A$2:$A$39,G217)=0,"rule 없음",""))</f>
        <v/>
      </c>
      <c r="L217" s="20" t="str">
        <f>IF(G217="","",IF(ISNUMBER(SEARCH(G217,IFERROR(VLOOKUP(C217,'03_units'!$B$2:$F$21,5,FALSE()),""))),"","unit 불일치"))</f>
        <v/>
      </c>
    </row>
    <row r="218" spans="1:12" ht="15" customHeight="1">
      <c r="A218" s="17" t="s">
        <v>1223</v>
      </c>
      <c r="B218" s="17">
        <v>6</v>
      </c>
      <c r="C218" s="17" t="s">
        <v>203</v>
      </c>
      <c r="D218" s="17" t="s">
        <v>1224</v>
      </c>
      <c r="E218" s="18" t="s">
        <v>1225</v>
      </c>
      <c r="F218" s="18" t="s">
        <v>336</v>
      </c>
      <c r="G218" s="17" t="s">
        <v>334</v>
      </c>
      <c r="H218" s="19" t="s">
        <v>95</v>
      </c>
      <c r="I218" s="19"/>
      <c r="J218" s="20" t="str">
        <f t="shared" si="3"/>
        <v/>
      </c>
      <c r="K218" s="20" t="str">
        <f>IF(G218="","",IF(COUNTIF('01_rules'!$A$2:$A$39,G218)=0,"rule 없음",""))</f>
        <v/>
      </c>
      <c r="L218" s="20" t="str">
        <f>IF(G218="","",IF(ISNUMBER(SEARCH(G218,IFERROR(VLOOKUP(C218,'03_units'!$B$2:$F$21,5,FALSE()),""))),"","unit 불일치"))</f>
        <v/>
      </c>
    </row>
    <row r="219" spans="1:12" ht="15" customHeight="1">
      <c r="A219" s="17" t="s">
        <v>1226</v>
      </c>
      <c r="B219" s="17">
        <v>6</v>
      </c>
      <c r="C219" s="17" t="s">
        <v>203</v>
      </c>
      <c r="D219" s="17" t="s">
        <v>1227</v>
      </c>
      <c r="E219" s="18" t="s">
        <v>1228</v>
      </c>
      <c r="F219" s="18" t="s">
        <v>313</v>
      </c>
      <c r="G219" s="17" t="s">
        <v>310</v>
      </c>
      <c r="H219" s="19" t="s">
        <v>95</v>
      </c>
      <c r="I219" s="19"/>
      <c r="J219" s="20" t="str">
        <f t="shared" si="3"/>
        <v/>
      </c>
      <c r="K219" s="20" t="str">
        <f>IF(G219="","",IF(COUNTIF('01_rules'!$A$2:$A$39,G219)=0,"rule 없음",""))</f>
        <v/>
      </c>
      <c r="L219" s="20" t="str">
        <f>IF(G219="","",IF(ISNUMBER(SEARCH(G219,IFERROR(VLOOKUP(C219,'03_units'!$B$2:$F$21,5,FALSE()),""))),"","unit 불일치"))</f>
        <v/>
      </c>
    </row>
    <row r="220" spans="1:12" ht="15" customHeight="1">
      <c r="A220" s="17" t="s">
        <v>1229</v>
      </c>
      <c r="B220" s="17">
        <v>6</v>
      </c>
      <c r="C220" s="17" t="s">
        <v>203</v>
      </c>
      <c r="D220" s="17" t="s">
        <v>1230</v>
      </c>
      <c r="E220" s="18" t="s">
        <v>1231</v>
      </c>
      <c r="F220" s="18" t="s">
        <v>336</v>
      </c>
      <c r="G220" s="17" t="s">
        <v>334</v>
      </c>
      <c r="H220" s="19" t="s">
        <v>95</v>
      </c>
      <c r="I220" s="19"/>
      <c r="J220" s="20" t="str">
        <f t="shared" si="3"/>
        <v/>
      </c>
      <c r="K220" s="20" t="str">
        <f>IF(G220="","",IF(COUNTIF('01_rules'!$A$2:$A$39,G220)=0,"rule 없음",""))</f>
        <v/>
      </c>
      <c r="L220" s="20" t="str">
        <f>IF(G220="","",IF(ISNUMBER(SEARCH(G220,IFERROR(VLOOKUP(C220,'03_units'!$B$2:$F$21,5,FALSE()),""))),"","unit 불일치"))</f>
        <v/>
      </c>
    </row>
    <row r="221" spans="1:12" ht="15" customHeight="1">
      <c r="A221" s="17" t="s">
        <v>1232</v>
      </c>
      <c r="B221" s="17">
        <v>6</v>
      </c>
      <c r="C221" s="17" t="s">
        <v>203</v>
      </c>
      <c r="D221" s="17" t="s">
        <v>1233</v>
      </c>
      <c r="E221" s="18" t="s">
        <v>1234</v>
      </c>
      <c r="F221" s="18" t="s">
        <v>336</v>
      </c>
      <c r="G221" s="17" t="s">
        <v>334</v>
      </c>
      <c r="H221" s="19" t="s">
        <v>95</v>
      </c>
      <c r="I221" s="19"/>
      <c r="J221" s="20" t="str">
        <f t="shared" si="3"/>
        <v/>
      </c>
      <c r="K221" s="20" t="str">
        <f>IF(G221="","",IF(COUNTIF('01_rules'!$A$2:$A$39,G221)=0,"rule 없음",""))</f>
        <v/>
      </c>
      <c r="L221" s="20" t="str">
        <f>IF(G221="","",IF(ISNUMBER(SEARCH(G221,IFERROR(VLOOKUP(C221,'03_units'!$B$2:$F$21,5,FALSE()),""))),"","unit 불일치"))</f>
        <v/>
      </c>
    </row>
    <row r="222" spans="1:12" ht="15" customHeight="1">
      <c r="A222" s="17" t="s">
        <v>1235</v>
      </c>
      <c r="B222" s="17">
        <v>3</v>
      </c>
      <c r="C222" s="17" t="s">
        <v>210</v>
      </c>
      <c r="D222" s="17" t="s">
        <v>1236</v>
      </c>
      <c r="E222" s="18" t="s">
        <v>1237</v>
      </c>
      <c r="F222" s="18" t="s">
        <v>212</v>
      </c>
      <c r="G222" s="17" t="s">
        <v>208</v>
      </c>
      <c r="H222" s="19" t="s">
        <v>95</v>
      </c>
      <c r="I222" s="19"/>
      <c r="J222" s="20" t="str">
        <f t="shared" si="3"/>
        <v/>
      </c>
      <c r="K222" s="20" t="str">
        <f>IF(G222="","",IF(COUNTIF('01_rules'!$A$2:$A$39,G222)=0,"rule 없음",""))</f>
        <v/>
      </c>
      <c r="L222" s="20" t="str">
        <f>IF(G222="","",IF(ISNUMBER(SEARCH(G222,IFERROR(VLOOKUP(C222,'03_units'!$B$2:$F$21,5,FALSE()),""))),"","unit 불일치"))</f>
        <v/>
      </c>
    </row>
    <row r="223" spans="1:12" ht="15" customHeight="1">
      <c r="A223" s="17" t="s">
        <v>1238</v>
      </c>
      <c r="B223" s="17">
        <v>3</v>
      </c>
      <c r="C223" s="17" t="s">
        <v>210</v>
      </c>
      <c r="D223" s="17" t="s">
        <v>1239</v>
      </c>
      <c r="E223" s="18" t="s">
        <v>1240</v>
      </c>
      <c r="F223" s="18" t="s">
        <v>212</v>
      </c>
      <c r="G223" s="17" t="s">
        <v>208</v>
      </c>
      <c r="H223" s="19" t="s">
        <v>95</v>
      </c>
      <c r="I223" s="19"/>
      <c r="J223" s="20" t="str">
        <f t="shared" si="3"/>
        <v/>
      </c>
      <c r="K223" s="20" t="str">
        <f>IF(G223="","",IF(COUNTIF('01_rules'!$A$2:$A$39,G223)=0,"rule 없음",""))</f>
        <v/>
      </c>
      <c r="L223" s="20" t="str">
        <f>IF(G223="","",IF(ISNUMBER(SEARCH(G223,IFERROR(VLOOKUP(C223,'03_units'!$B$2:$F$21,5,FALSE()),""))),"","unit 불일치"))</f>
        <v/>
      </c>
    </row>
    <row r="224" spans="1:12" ht="15" customHeight="1">
      <c r="A224" s="17" t="s">
        <v>1241</v>
      </c>
      <c r="B224" s="17">
        <v>3</v>
      </c>
      <c r="C224" s="17" t="s">
        <v>210</v>
      </c>
      <c r="D224" s="17" t="s">
        <v>1242</v>
      </c>
      <c r="E224" s="18" t="s">
        <v>1243</v>
      </c>
      <c r="F224" s="18" t="s">
        <v>212</v>
      </c>
      <c r="G224" s="17" t="s">
        <v>208</v>
      </c>
      <c r="H224" s="19" t="s">
        <v>95</v>
      </c>
      <c r="I224" s="19"/>
      <c r="J224" s="20" t="str">
        <f t="shared" si="3"/>
        <v/>
      </c>
      <c r="K224" s="20" t="str">
        <f>IF(G224="","",IF(COUNTIF('01_rules'!$A$2:$A$39,G224)=0,"rule 없음",""))</f>
        <v/>
      </c>
      <c r="L224" s="20" t="str">
        <f>IF(G224="","",IF(ISNUMBER(SEARCH(G224,IFERROR(VLOOKUP(C224,'03_units'!$B$2:$F$21,5,FALSE()),""))),"","unit 불일치"))</f>
        <v/>
      </c>
    </row>
    <row r="225" spans="1:12" ht="15" customHeight="1">
      <c r="A225" s="17" t="s">
        <v>1244</v>
      </c>
      <c r="B225" s="17">
        <v>3</v>
      </c>
      <c r="C225" s="17" t="s">
        <v>210</v>
      </c>
      <c r="D225" s="17" t="s">
        <v>1245</v>
      </c>
      <c r="E225" s="18" t="s">
        <v>1246</v>
      </c>
      <c r="F225" s="18" t="s">
        <v>336</v>
      </c>
      <c r="G225" s="17" t="s">
        <v>334</v>
      </c>
      <c r="H225" s="19" t="s">
        <v>95</v>
      </c>
      <c r="I225" s="19"/>
      <c r="J225" s="20" t="str">
        <f t="shared" si="3"/>
        <v/>
      </c>
      <c r="K225" s="20" t="str">
        <f>IF(G225="","",IF(COUNTIF('01_rules'!$A$2:$A$39,G225)=0,"rule 없음",""))</f>
        <v/>
      </c>
      <c r="L225" s="20" t="str">
        <f>IF(G225="","",IF(ISNUMBER(SEARCH(G225,IFERROR(VLOOKUP(C225,'03_units'!$B$2:$F$21,5,FALSE()),""))),"","unit 불일치"))</f>
        <v/>
      </c>
    </row>
    <row r="226" spans="1:12" ht="15" customHeight="1">
      <c r="A226" s="17" t="s">
        <v>1247</v>
      </c>
      <c r="B226" s="17">
        <v>3</v>
      </c>
      <c r="C226" s="17" t="s">
        <v>210</v>
      </c>
      <c r="D226" s="17" t="s">
        <v>1248</v>
      </c>
      <c r="E226" s="18" t="s">
        <v>1249</v>
      </c>
      <c r="F226" s="18" t="s">
        <v>212</v>
      </c>
      <c r="G226" s="17" t="s">
        <v>208</v>
      </c>
      <c r="H226" s="19" t="s">
        <v>95</v>
      </c>
      <c r="I226" s="19"/>
      <c r="J226" s="20" t="str">
        <f t="shared" si="3"/>
        <v/>
      </c>
      <c r="K226" s="20" t="str">
        <f>IF(G226="","",IF(COUNTIF('01_rules'!$A$2:$A$39,G226)=0,"rule 없음",""))</f>
        <v/>
      </c>
      <c r="L226" s="20" t="str">
        <f>IF(G226="","",IF(ISNUMBER(SEARCH(G226,IFERROR(VLOOKUP(C226,'03_units'!$B$2:$F$21,5,FALSE()),""))),"","unit 불일치"))</f>
        <v/>
      </c>
    </row>
    <row r="227" spans="1:12" ht="15" customHeight="1">
      <c r="A227" s="17" t="s">
        <v>1250</v>
      </c>
      <c r="B227" s="17">
        <v>4</v>
      </c>
      <c r="C227" s="17" t="s">
        <v>210</v>
      </c>
      <c r="D227" s="17" t="s">
        <v>1251</v>
      </c>
      <c r="E227" s="18" t="s">
        <v>1252</v>
      </c>
      <c r="F227" s="18" t="s">
        <v>212</v>
      </c>
      <c r="G227" s="17" t="s">
        <v>208</v>
      </c>
      <c r="H227" s="19" t="s">
        <v>95</v>
      </c>
      <c r="I227" s="19"/>
      <c r="J227" s="20" t="str">
        <f t="shared" si="3"/>
        <v/>
      </c>
      <c r="K227" s="20" t="str">
        <f>IF(G227="","",IF(COUNTIF('01_rules'!$A$2:$A$39,G227)=0,"rule 없음",""))</f>
        <v/>
      </c>
      <c r="L227" s="20" t="str">
        <f>IF(G227="","",IF(ISNUMBER(SEARCH(G227,IFERROR(VLOOKUP(C227,'03_units'!$B$2:$F$21,5,FALSE()),""))),"","unit 불일치"))</f>
        <v/>
      </c>
    </row>
    <row r="228" spans="1:12" ht="15" customHeight="1">
      <c r="A228" s="17" t="s">
        <v>1253</v>
      </c>
      <c r="B228" s="17">
        <v>4</v>
      </c>
      <c r="C228" s="17" t="s">
        <v>210</v>
      </c>
      <c r="D228" s="17" t="s">
        <v>1254</v>
      </c>
      <c r="E228" s="18" t="s">
        <v>1255</v>
      </c>
      <c r="F228" s="18" t="s">
        <v>212</v>
      </c>
      <c r="G228" s="17" t="s">
        <v>208</v>
      </c>
      <c r="H228" s="19" t="s">
        <v>95</v>
      </c>
      <c r="I228" s="19"/>
      <c r="J228" s="20" t="str">
        <f t="shared" si="3"/>
        <v/>
      </c>
      <c r="K228" s="20" t="str">
        <f>IF(G228="","",IF(COUNTIF('01_rules'!$A$2:$A$39,G228)=0,"rule 없음",""))</f>
        <v/>
      </c>
      <c r="L228" s="20" t="str">
        <f>IF(G228="","",IF(ISNUMBER(SEARCH(G228,IFERROR(VLOOKUP(C228,'03_units'!$B$2:$F$21,5,FALSE()),""))),"","unit 불일치"))</f>
        <v/>
      </c>
    </row>
    <row r="229" spans="1:12" ht="15" customHeight="1">
      <c r="A229" s="17" t="s">
        <v>1256</v>
      </c>
      <c r="B229" s="17">
        <v>4</v>
      </c>
      <c r="C229" s="17" t="s">
        <v>210</v>
      </c>
      <c r="D229" s="17" t="s">
        <v>1257</v>
      </c>
      <c r="E229" s="18" t="s">
        <v>1258</v>
      </c>
      <c r="F229" s="18" t="s">
        <v>212</v>
      </c>
      <c r="G229" s="17" t="s">
        <v>208</v>
      </c>
      <c r="H229" s="19" t="s">
        <v>95</v>
      </c>
      <c r="I229" s="19"/>
      <c r="J229" s="20" t="str">
        <f t="shared" si="3"/>
        <v/>
      </c>
      <c r="K229" s="20" t="str">
        <f>IF(G229="","",IF(COUNTIF('01_rules'!$A$2:$A$39,G229)=0,"rule 없음",""))</f>
        <v/>
      </c>
      <c r="L229" s="20" t="str">
        <f>IF(G229="","",IF(ISNUMBER(SEARCH(G229,IFERROR(VLOOKUP(C229,'03_units'!$B$2:$F$21,5,FALSE()),""))),"","unit 불일치"))</f>
        <v/>
      </c>
    </row>
    <row r="230" spans="1:12" ht="15" customHeight="1">
      <c r="A230" s="17" t="s">
        <v>1259</v>
      </c>
      <c r="B230" s="17">
        <v>4</v>
      </c>
      <c r="C230" s="17" t="s">
        <v>210</v>
      </c>
      <c r="D230" s="17" t="s">
        <v>1260</v>
      </c>
      <c r="E230" s="18" t="s">
        <v>1261</v>
      </c>
      <c r="F230" s="18" t="s">
        <v>336</v>
      </c>
      <c r="G230" s="17" t="s">
        <v>334</v>
      </c>
      <c r="H230" s="19" t="s">
        <v>95</v>
      </c>
      <c r="I230" s="19"/>
      <c r="J230" s="20" t="str">
        <f t="shared" si="3"/>
        <v/>
      </c>
      <c r="K230" s="20" t="str">
        <f>IF(G230="","",IF(COUNTIF('01_rules'!$A$2:$A$39,G230)=0,"rule 없음",""))</f>
        <v/>
      </c>
      <c r="L230" s="20" t="str">
        <f>IF(G230="","",IF(ISNUMBER(SEARCH(G230,IFERROR(VLOOKUP(C230,'03_units'!$B$2:$F$21,5,FALSE()),""))),"","unit 불일치"))</f>
        <v/>
      </c>
    </row>
    <row r="231" spans="1:12" ht="15" customHeight="1">
      <c r="A231" s="17" t="s">
        <v>1262</v>
      </c>
      <c r="B231" s="17">
        <v>4</v>
      </c>
      <c r="C231" s="17" t="s">
        <v>210</v>
      </c>
      <c r="D231" s="17" t="s">
        <v>1263</v>
      </c>
      <c r="E231" s="18" t="s">
        <v>1264</v>
      </c>
      <c r="F231" s="18" t="s">
        <v>336</v>
      </c>
      <c r="G231" s="17" t="s">
        <v>334</v>
      </c>
      <c r="H231" s="19" t="s">
        <v>95</v>
      </c>
      <c r="I231" s="19"/>
      <c r="J231" s="20" t="str">
        <f t="shared" si="3"/>
        <v/>
      </c>
      <c r="K231" s="20" t="str">
        <f>IF(G231="","",IF(COUNTIF('01_rules'!$A$2:$A$39,G231)=0,"rule 없음",""))</f>
        <v/>
      </c>
      <c r="L231" s="20" t="str">
        <f>IF(G231="","",IF(ISNUMBER(SEARCH(G231,IFERROR(VLOOKUP(C231,'03_units'!$B$2:$F$21,5,FALSE()),""))),"","unit 불일치"))</f>
        <v/>
      </c>
    </row>
    <row r="232" spans="1:12" ht="15" customHeight="1">
      <c r="A232" s="17" t="s">
        <v>1265</v>
      </c>
      <c r="B232" s="17">
        <v>5</v>
      </c>
      <c r="C232" s="17" t="s">
        <v>210</v>
      </c>
      <c r="D232" s="17" t="s">
        <v>1266</v>
      </c>
      <c r="E232" s="18" t="s">
        <v>1267</v>
      </c>
      <c r="F232" s="18" t="s">
        <v>313</v>
      </c>
      <c r="G232" s="17" t="s">
        <v>310</v>
      </c>
      <c r="H232" s="19" t="s">
        <v>95</v>
      </c>
      <c r="I232" s="19"/>
      <c r="J232" s="20" t="str">
        <f t="shared" si="3"/>
        <v/>
      </c>
      <c r="K232" s="20" t="str">
        <f>IF(G232="","",IF(COUNTIF('01_rules'!$A$2:$A$39,G232)=0,"rule 없음",""))</f>
        <v/>
      </c>
      <c r="L232" s="20" t="str">
        <f>IF(G232="","",IF(ISNUMBER(SEARCH(G232,IFERROR(VLOOKUP(C232,'03_units'!$B$2:$F$21,5,FALSE()),""))),"","unit 불일치"))</f>
        <v/>
      </c>
    </row>
    <row r="233" spans="1:12" ht="15" customHeight="1">
      <c r="A233" s="17" t="s">
        <v>1268</v>
      </c>
      <c r="B233" s="17">
        <v>5</v>
      </c>
      <c r="C233" s="17" t="s">
        <v>210</v>
      </c>
      <c r="D233" s="17" t="s">
        <v>1269</v>
      </c>
      <c r="E233" s="18" t="s">
        <v>1270</v>
      </c>
      <c r="F233" s="18" t="s">
        <v>336</v>
      </c>
      <c r="G233" s="17" t="s">
        <v>334</v>
      </c>
      <c r="H233" s="19" t="s">
        <v>95</v>
      </c>
      <c r="I233" s="19"/>
      <c r="J233" s="20" t="str">
        <f t="shared" si="3"/>
        <v/>
      </c>
      <c r="K233" s="20" t="str">
        <f>IF(G233="","",IF(COUNTIF('01_rules'!$A$2:$A$39,G233)=0,"rule 없음",""))</f>
        <v/>
      </c>
      <c r="L233" s="20" t="str">
        <f>IF(G233="","",IF(ISNUMBER(SEARCH(G233,IFERROR(VLOOKUP(C233,'03_units'!$B$2:$F$21,5,FALSE()),""))),"","unit 불일치"))</f>
        <v/>
      </c>
    </row>
    <row r="234" spans="1:12" ht="15" customHeight="1">
      <c r="A234" s="17" t="s">
        <v>1271</v>
      </c>
      <c r="B234" s="17">
        <v>5</v>
      </c>
      <c r="C234" s="17" t="s">
        <v>210</v>
      </c>
      <c r="D234" s="17" t="s">
        <v>1272</v>
      </c>
      <c r="E234" s="18" t="s">
        <v>1273</v>
      </c>
      <c r="F234" s="18" t="s">
        <v>301</v>
      </c>
      <c r="G234" s="17" t="s">
        <v>297</v>
      </c>
      <c r="H234" s="19" t="s">
        <v>95</v>
      </c>
      <c r="I234" s="19"/>
      <c r="J234" s="20" t="str">
        <f t="shared" si="3"/>
        <v/>
      </c>
      <c r="K234" s="20" t="str">
        <f>IF(G234="","",IF(COUNTIF('01_rules'!$A$2:$A$39,G234)=0,"rule 없음",""))</f>
        <v/>
      </c>
      <c r="L234" s="20" t="str">
        <f>IF(G234="","",IF(ISNUMBER(SEARCH(G234,IFERROR(VLOOKUP(C234,'03_units'!$B$2:$F$21,5,FALSE()),""))),"","unit 불일치"))</f>
        <v/>
      </c>
    </row>
    <row r="235" spans="1:12" ht="15" customHeight="1">
      <c r="A235" s="17" t="s">
        <v>1274</v>
      </c>
      <c r="B235" s="17">
        <v>5</v>
      </c>
      <c r="C235" s="17" t="s">
        <v>210</v>
      </c>
      <c r="D235" s="17" t="s">
        <v>1275</v>
      </c>
      <c r="E235" s="18" t="s">
        <v>1276</v>
      </c>
      <c r="F235" s="18" t="s">
        <v>336</v>
      </c>
      <c r="G235" s="17" t="s">
        <v>334</v>
      </c>
      <c r="H235" s="19" t="s">
        <v>95</v>
      </c>
      <c r="I235" s="19"/>
      <c r="J235" s="20" t="str">
        <f t="shared" si="3"/>
        <v/>
      </c>
      <c r="K235" s="20" t="str">
        <f>IF(G235="","",IF(COUNTIF('01_rules'!$A$2:$A$39,G235)=0,"rule 없음",""))</f>
        <v/>
      </c>
      <c r="L235" s="20" t="str">
        <f>IF(G235="","",IF(ISNUMBER(SEARCH(G235,IFERROR(VLOOKUP(C235,'03_units'!$B$2:$F$21,5,FALSE()),""))),"","unit 불일치"))</f>
        <v/>
      </c>
    </row>
    <row r="236" spans="1:12" ht="15" customHeight="1">
      <c r="A236" s="17" t="s">
        <v>1277</v>
      </c>
      <c r="B236" s="17">
        <v>5</v>
      </c>
      <c r="C236" s="17" t="s">
        <v>210</v>
      </c>
      <c r="D236" s="17" t="s">
        <v>1278</v>
      </c>
      <c r="E236" s="18" t="s">
        <v>1279</v>
      </c>
      <c r="F236" s="18" t="s">
        <v>336</v>
      </c>
      <c r="G236" s="17" t="s">
        <v>334</v>
      </c>
      <c r="H236" s="19" t="s">
        <v>95</v>
      </c>
      <c r="I236" s="19"/>
      <c r="J236" s="20" t="str">
        <f t="shared" si="3"/>
        <v/>
      </c>
      <c r="K236" s="20" t="str">
        <f>IF(G236="","",IF(COUNTIF('01_rules'!$A$2:$A$39,G236)=0,"rule 없음",""))</f>
        <v/>
      </c>
      <c r="L236" s="20" t="str">
        <f>IF(G236="","",IF(ISNUMBER(SEARCH(G236,IFERROR(VLOOKUP(C236,'03_units'!$B$2:$F$21,5,FALSE()),""))),"","unit 불일치"))</f>
        <v/>
      </c>
    </row>
    <row r="237" spans="1:12" ht="15" customHeight="1">
      <c r="A237" s="17" t="s">
        <v>1280</v>
      </c>
      <c r="B237" s="17">
        <v>6</v>
      </c>
      <c r="C237" s="17" t="s">
        <v>210</v>
      </c>
      <c r="D237" s="17" t="s">
        <v>1281</v>
      </c>
      <c r="E237" s="18" t="s">
        <v>1282</v>
      </c>
      <c r="F237" s="18" t="s">
        <v>336</v>
      </c>
      <c r="G237" s="17" t="s">
        <v>334</v>
      </c>
      <c r="H237" s="19" t="s">
        <v>95</v>
      </c>
      <c r="I237" s="19"/>
      <c r="J237" s="20" t="str">
        <f t="shared" si="3"/>
        <v/>
      </c>
      <c r="K237" s="20" t="str">
        <f>IF(G237="","",IF(COUNTIF('01_rules'!$A$2:$A$39,G237)=0,"rule 없음",""))</f>
        <v/>
      </c>
      <c r="L237" s="20" t="str">
        <f>IF(G237="","",IF(ISNUMBER(SEARCH(G237,IFERROR(VLOOKUP(C237,'03_units'!$B$2:$F$21,5,FALSE()),""))),"","unit 불일치"))</f>
        <v/>
      </c>
    </row>
    <row r="238" spans="1:12" ht="15" customHeight="1">
      <c r="A238" s="17" t="s">
        <v>1283</v>
      </c>
      <c r="B238" s="17">
        <v>6</v>
      </c>
      <c r="C238" s="17" t="s">
        <v>210</v>
      </c>
      <c r="D238" s="17" t="s">
        <v>1284</v>
      </c>
      <c r="E238" s="18" t="s">
        <v>1285</v>
      </c>
      <c r="F238" s="18" t="s">
        <v>336</v>
      </c>
      <c r="G238" s="17" t="s">
        <v>334</v>
      </c>
      <c r="H238" s="19" t="s">
        <v>95</v>
      </c>
      <c r="I238" s="19"/>
      <c r="J238" s="20" t="str">
        <f t="shared" si="3"/>
        <v/>
      </c>
      <c r="K238" s="20" t="str">
        <f>IF(G238="","",IF(COUNTIF('01_rules'!$A$2:$A$39,G238)=0,"rule 없음",""))</f>
        <v/>
      </c>
      <c r="L238" s="20" t="str">
        <f>IF(G238="","",IF(ISNUMBER(SEARCH(G238,IFERROR(VLOOKUP(C238,'03_units'!$B$2:$F$21,5,FALSE()),""))),"","unit 불일치"))</f>
        <v/>
      </c>
    </row>
    <row r="239" spans="1:12" ht="15" customHeight="1">
      <c r="A239" s="17" t="s">
        <v>1286</v>
      </c>
      <c r="B239" s="17">
        <v>6</v>
      </c>
      <c r="C239" s="17" t="s">
        <v>210</v>
      </c>
      <c r="D239" s="17" t="s">
        <v>1287</v>
      </c>
      <c r="E239" s="18" t="s">
        <v>1288</v>
      </c>
      <c r="F239" s="18" t="s">
        <v>145</v>
      </c>
      <c r="G239" s="17" t="s">
        <v>141</v>
      </c>
      <c r="H239" s="19" t="s">
        <v>95</v>
      </c>
      <c r="I239" s="19"/>
      <c r="J239" s="20" t="str">
        <f t="shared" si="3"/>
        <v/>
      </c>
      <c r="K239" s="20" t="str">
        <f>IF(G239="","",IF(COUNTIF('01_rules'!$A$2:$A$39,G239)=0,"rule 없음",""))</f>
        <v/>
      </c>
      <c r="L239" s="20" t="str">
        <f>IF(G239="","",IF(ISNUMBER(SEARCH(G239,IFERROR(VLOOKUP(C239,'03_units'!$B$2:$F$21,5,FALSE()),""))),"","unit 불일치"))</f>
        <v/>
      </c>
    </row>
    <row r="240" spans="1:12" ht="15" customHeight="1">
      <c r="A240" s="17" t="s">
        <v>1289</v>
      </c>
      <c r="B240" s="17">
        <v>6</v>
      </c>
      <c r="C240" s="17" t="s">
        <v>210</v>
      </c>
      <c r="D240" s="17" t="s">
        <v>1290</v>
      </c>
      <c r="E240" s="18" t="s">
        <v>1291</v>
      </c>
      <c r="F240" s="18" t="s">
        <v>336</v>
      </c>
      <c r="G240" s="17" t="s">
        <v>334</v>
      </c>
      <c r="H240" s="19" t="s">
        <v>95</v>
      </c>
      <c r="I240" s="19"/>
      <c r="J240" s="20" t="str">
        <f t="shared" si="3"/>
        <v/>
      </c>
      <c r="K240" s="20" t="str">
        <f>IF(G240="","",IF(COUNTIF('01_rules'!$A$2:$A$39,G240)=0,"rule 없음",""))</f>
        <v/>
      </c>
      <c r="L240" s="20" t="str">
        <f>IF(G240="","",IF(ISNUMBER(SEARCH(G240,IFERROR(VLOOKUP(C240,'03_units'!$B$2:$F$21,5,FALSE()),""))),"","unit 불일치"))</f>
        <v/>
      </c>
    </row>
    <row r="241" spans="1:12" ht="15" customHeight="1">
      <c r="A241" s="17" t="s">
        <v>1292</v>
      </c>
      <c r="B241" s="17">
        <v>6</v>
      </c>
      <c r="C241" s="17" t="s">
        <v>210</v>
      </c>
      <c r="D241" s="17" t="s">
        <v>1293</v>
      </c>
      <c r="E241" s="18" t="s">
        <v>1294</v>
      </c>
      <c r="F241" s="18" t="s">
        <v>336</v>
      </c>
      <c r="G241" s="17" t="s">
        <v>334</v>
      </c>
      <c r="H241" s="19" t="s">
        <v>95</v>
      </c>
      <c r="I241" s="19"/>
      <c r="J241" s="20" t="str">
        <f t="shared" si="3"/>
        <v/>
      </c>
      <c r="K241" s="20" t="str">
        <f>IF(G241="","",IF(COUNTIF('01_rules'!$A$2:$A$39,G241)=0,"rule 없음",""))</f>
        <v/>
      </c>
      <c r="L241" s="20" t="str">
        <f>IF(G241="","",IF(ISNUMBER(SEARCH(G241,IFERROR(VLOOKUP(C241,'03_units'!$B$2:$F$21,5,FALSE()),""))),"","unit 불일치"))</f>
        <v/>
      </c>
    </row>
    <row r="242" spans="1:12" ht="15" customHeight="1">
      <c r="A242" s="17" t="s">
        <v>1295</v>
      </c>
      <c r="B242" s="17">
        <v>3</v>
      </c>
      <c r="C242" s="17" t="s">
        <v>217</v>
      </c>
      <c r="D242" s="17" t="s">
        <v>1296</v>
      </c>
      <c r="E242" s="18" t="s">
        <v>1297</v>
      </c>
      <c r="F242" s="18" t="s">
        <v>219</v>
      </c>
      <c r="G242" s="17" t="s">
        <v>215</v>
      </c>
      <c r="H242" s="19" t="s">
        <v>95</v>
      </c>
      <c r="I242" s="19"/>
      <c r="J242" s="20" t="str">
        <f t="shared" si="3"/>
        <v/>
      </c>
      <c r="K242" s="20" t="str">
        <f>IF(G242="","",IF(COUNTIF('01_rules'!$A$2:$A$39,G242)=0,"rule 없음",""))</f>
        <v/>
      </c>
      <c r="L242" s="20" t="str">
        <f>IF(G242="","",IF(ISNUMBER(SEARCH(G242,IFERROR(VLOOKUP(C242,'03_units'!$B$2:$F$21,5,FALSE()),""))),"","unit 불일치"))</f>
        <v/>
      </c>
    </row>
    <row r="243" spans="1:12" ht="15" customHeight="1">
      <c r="A243" s="17" t="s">
        <v>1298</v>
      </c>
      <c r="B243" s="17">
        <v>3</v>
      </c>
      <c r="C243" s="17" t="s">
        <v>217</v>
      </c>
      <c r="D243" s="17" t="s">
        <v>1299</v>
      </c>
      <c r="E243" s="18" t="s">
        <v>1300</v>
      </c>
      <c r="F243" s="18" t="s">
        <v>219</v>
      </c>
      <c r="G243" s="17" t="s">
        <v>215</v>
      </c>
      <c r="H243" s="19" t="s">
        <v>95</v>
      </c>
      <c r="I243" s="19"/>
      <c r="J243" s="20" t="str">
        <f t="shared" si="3"/>
        <v/>
      </c>
      <c r="K243" s="20" t="str">
        <f>IF(G243="","",IF(COUNTIF('01_rules'!$A$2:$A$39,G243)=0,"rule 없음",""))</f>
        <v/>
      </c>
      <c r="L243" s="20" t="str">
        <f>IF(G243="","",IF(ISNUMBER(SEARCH(G243,IFERROR(VLOOKUP(C243,'03_units'!$B$2:$F$21,5,FALSE()),""))),"","unit 불일치"))</f>
        <v/>
      </c>
    </row>
    <row r="244" spans="1:12" ht="15" customHeight="1">
      <c r="A244" s="17" t="s">
        <v>1301</v>
      </c>
      <c r="B244" s="17">
        <v>3</v>
      </c>
      <c r="C244" s="17" t="s">
        <v>217</v>
      </c>
      <c r="D244" s="17" t="s">
        <v>1302</v>
      </c>
      <c r="E244" s="18" t="s">
        <v>1303</v>
      </c>
      <c r="F244" s="18" t="s">
        <v>219</v>
      </c>
      <c r="G244" s="17" t="s">
        <v>215</v>
      </c>
      <c r="H244" s="19" t="s">
        <v>95</v>
      </c>
      <c r="I244" s="19"/>
      <c r="J244" s="20" t="str">
        <f t="shared" si="3"/>
        <v/>
      </c>
      <c r="K244" s="20" t="str">
        <f>IF(G244="","",IF(COUNTIF('01_rules'!$A$2:$A$39,G244)=0,"rule 없음",""))</f>
        <v/>
      </c>
      <c r="L244" s="20" t="str">
        <f>IF(G244="","",IF(ISNUMBER(SEARCH(G244,IFERROR(VLOOKUP(C244,'03_units'!$B$2:$F$21,5,FALSE()),""))),"","unit 불일치"))</f>
        <v/>
      </c>
    </row>
    <row r="245" spans="1:12" ht="15" customHeight="1">
      <c r="A245" s="17" t="s">
        <v>1304</v>
      </c>
      <c r="B245" s="17">
        <v>3</v>
      </c>
      <c r="C245" s="17" t="s">
        <v>217</v>
      </c>
      <c r="D245" s="17" t="s">
        <v>1305</v>
      </c>
      <c r="E245" s="18" t="s">
        <v>1306</v>
      </c>
      <c r="F245" s="18" t="s">
        <v>219</v>
      </c>
      <c r="G245" s="17" t="s">
        <v>215</v>
      </c>
      <c r="H245" s="19" t="s">
        <v>95</v>
      </c>
      <c r="I245" s="19"/>
      <c r="J245" s="20" t="str">
        <f t="shared" si="3"/>
        <v/>
      </c>
      <c r="K245" s="20" t="str">
        <f>IF(G245="","",IF(COUNTIF('01_rules'!$A$2:$A$39,G245)=0,"rule 없음",""))</f>
        <v/>
      </c>
      <c r="L245" s="20" t="str">
        <f>IF(G245="","",IF(ISNUMBER(SEARCH(G245,IFERROR(VLOOKUP(C245,'03_units'!$B$2:$F$21,5,FALSE()),""))),"","unit 불일치"))</f>
        <v/>
      </c>
    </row>
    <row r="246" spans="1:12" ht="29.25" customHeight="1">
      <c r="A246" s="17" t="s">
        <v>1307</v>
      </c>
      <c r="B246" s="17">
        <v>3</v>
      </c>
      <c r="C246" s="17" t="s">
        <v>217</v>
      </c>
      <c r="D246" s="17" t="s">
        <v>1308</v>
      </c>
      <c r="E246" s="18" t="s">
        <v>1309</v>
      </c>
      <c r="F246" s="18" t="s">
        <v>219</v>
      </c>
      <c r="G246" s="17" t="s">
        <v>215</v>
      </c>
      <c r="H246" s="19" t="s">
        <v>95</v>
      </c>
      <c r="I246" s="19"/>
      <c r="J246" s="20" t="str">
        <f t="shared" si="3"/>
        <v/>
      </c>
      <c r="K246" s="20" t="str">
        <f>IF(G246="","",IF(COUNTIF('01_rules'!$A$2:$A$39,G246)=0,"rule 없음",""))</f>
        <v/>
      </c>
      <c r="L246" s="20" t="str">
        <f>IF(G246="","",IF(ISNUMBER(SEARCH(G246,IFERROR(VLOOKUP(C246,'03_units'!$B$2:$F$21,5,FALSE()),""))),"","unit 불일치"))</f>
        <v/>
      </c>
    </row>
    <row r="247" spans="1:12" ht="15" customHeight="1">
      <c r="A247" s="17" t="s">
        <v>1310</v>
      </c>
      <c r="B247" s="17">
        <v>4</v>
      </c>
      <c r="C247" s="17" t="s">
        <v>217</v>
      </c>
      <c r="D247" s="17" t="s">
        <v>1311</v>
      </c>
      <c r="E247" s="18" t="s">
        <v>1312</v>
      </c>
      <c r="F247" s="18" t="s">
        <v>219</v>
      </c>
      <c r="G247" s="17" t="s">
        <v>215</v>
      </c>
      <c r="H247" s="19" t="s">
        <v>95</v>
      </c>
      <c r="I247" s="19"/>
      <c r="J247" s="20" t="str">
        <f t="shared" si="3"/>
        <v/>
      </c>
      <c r="K247" s="20" t="str">
        <f>IF(G247="","",IF(COUNTIF('01_rules'!$A$2:$A$39,G247)=0,"rule 없음",""))</f>
        <v/>
      </c>
      <c r="L247" s="20" t="str">
        <f>IF(G247="","",IF(ISNUMBER(SEARCH(G247,IFERROR(VLOOKUP(C247,'03_units'!$B$2:$F$21,5,FALSE()),""))),"","unit 불일치"))</f>
        <v/>
      </c>
    </row>
    <row r="248" spans="1:12" ht="15" customHeight="1">
      <c r="A248" s="17" t="s">
        <v>1313</v>
      </c>
      <c r="B248" s="17">
        <v>4</v>
      </c>
      <c r="C248" s="17" t="s">
        <v>217</v>
      </c>
      <c r="D248" s="17" t="s">
        <v>1314</v>
      </c>
      <c r="E248" s="18" t="s">
        <v>1315</v>
      </c>
      <c r="F248" s="18" t="s">
        <v>219</v>
      </c>
      <c r="G248" s="17" t="s">
        <v>215</v>
      </c>
      <c r="H248" s="19" t="s">
        <v>95</v>
      </c>
      <c r="I248" s="19"/>
      <c r="J248" s="20" t="str">
        <f t="shared" si="3"/>
        <v/>
      </c>
      <c r="K248" s="20" t="str">
        <f>IF(G248="","",IF(COUNTIF('01_rules'!$A$2:$A$39,G248)=0,"rule 없음",""))</f>
        <v/>
      </c>
      <c r="L248" s="20" t="str">
        <f>IF(G248="","",IF(ISNUMBER(SEARCH(G248,IFERROR(VLOOKUP(C248,'03_units'!$B$2:$F$21,5,FALSE()),""))),"","unit 불일치"))</f>
        <v/>
      </c>
    </row>
    <row r="249" spans="1:12" ht="15" customHeight="1">
      <c r="A249" s="17" t="s">
        <v>1316</v>
      </c>
      <c r="B249" s="17">
        <v>4</v>
      </c>
      <c r="C249" s="17" t="s">
        <v>217</v>
      </c>
      <c r="D249" s="17" t="s">
        <v>1317</v>
      </c>
      <c r="E249" s="18" t="s">
        <v>1318</v>
      </c>
      <c r="F249" s="18" t="s">
        <v>336</v>
      </c>
      <c r="G249" s="17" t="s">
        <v>334</v>
      </c>
      <c r="H249" s="19" t="s">
        <v>95</v>
      </c>
      <c r="I249" s="19"/>
      <c r="J249" s="20" t="str">
        <f t="shared" si="3"/>
        <v/>
      </c>
      <c r="K249" s="20" t="str">
        <f>IF(G249="","",IF(COUNTIF('01_rules'!$A$2:$A$39,G249)=0,"rule 없음",""))</f>
        <v/>
      </c>
      <c r="L249" s="20" t="str">
        <f>IF(G249="","",IF(ISNUMBER(SEARCH(G249,IFERROR(VLOOKUP(C249,'03_units'!$B$2:$F$21,5,FALSE()),""))),"","unit 불일치"))</f>
        <v/>
      </c>
    </row>
    <row r="250" spans="1:12" ht="15" customHeight="1">
      <c r="A250" s="17" t="s">
        <v>1319</v>
      </c>
      <c r="B250" s="17">
        <v>4</v>
      </c>
      <c r="C250" s="17" t="s">
        <v>217</v>
      </c>
      <c r="D250" s="17" t="s">
        <v>1320</v>
      </c>
      <c r="E250" s="18" t="s">
        <v>1321</v>
      </c>
      <c r="F250" s="18" t="s">
        <v>336</v>
      </c>
      <c r="G250" s="17" t="s">
        <v>334</v>
      </c>
      <c r="H250" s="19" t="s">
        <v>95</v>
      </c>
      <c r="I250" s="19"/>
      <c r="J250" s="20" t="str">
        <f t="shared" si="3"/>
        <v/>
      </c>
      <c r="K250" s="20" t="str">
        <f>IF(G250="","",IF(COUNTIF('01_rules'!$A$2:$A$39,G250)=0,"rule 없음",""))</f>
        <v/>
      </c>
      <c r="L250" s="20" t="str">
        <f>IF(G250="","",IF(ISNUMBER(SEARCH(G250,IFERROR(VLOOKUP(C250,'03_units'!$B$2:$F$21,5,FALSE()),""))),"","unit 불일치"))</f>
        <v/>
      </c>
    </row>
    <row r="251" spans="1:12" ht="15" customHeight="1">
      <c r="A251" s="17" t="s">
        <v>1322</v>
      </c>
      <c r="B251" s="17">
        <v>4</v>
      </c>
      <c r="C251" s="17" t="s">
        <v>217</v>
      </c>
      <c r="D251" s="17" t="s">
        <v>1323</v>
      </c>
      <c r="E251" s="18" t="s">
        <v>1324</v>
      </c>
      <c r="F251" s="18" t="s">
        <v>219</v>
      </c>
      <c r="G251" s="17" t="s">
        <v>215</v>
      </c>
      <c r="H251" s="19" t="s">
        <v>95</v>
      </c>
      <c r="I251" s="19"/>
      <c r="J251" s="20" t="str">
        <f t="shared" si="3"/>
        <v/>
      </c>
      <c r="K251" s="20" t="str">
        <f>IF(G251="","",IF(COUNTIF('01_rules'!$A$2:$A$39,G251)=0,"rule 없음",""))</f>
        <v/>
      </c>
      <c r="L251" s="20" t="str">
        <f>IF(G251="","",IF(ISNUMBER(SEARCH(G251,IFERROR(VLOOKUP(C251,'03_units'!$B$2:$F$21,5,FALSE()),""))),"","unit 불일치"))</f>
        <v/>
      </c>
    </row>
    <row r="252" spans="1:12" ht="15" customHeight="1">
      <c r="A252" s="17" t="s">
        <v>1325</v>
      </c>
      <c r="B252" s="17">
        <v>5</v>
      </c>
      <c r="C252" s="17" t="s">
        <v>217</v>
      </c>
      <c r="D252" s="17" t="s">
        <v>1326</v>
      </c>
      <c r="E252" s="18" t="s">
        <v>1327</v>
      </c>
      <c r="F252" s="18" t="s">
        <v>336</v>
      </c>
      <c r="G252" s="17" t="s">
        <v>334</v>
      </c>
      <c r="H252" s="19" t="s">
        <v>95</v>
      </c>
      <c r="I252" s="19"/>
      <c r="J252" s="20" t="str">
        <f t="shared" si="3"/>
        <v/>
      </c>
      <c r="K252" s="20" t="str">
        <f>IF(G252="","",IF(COUNTIF('01_rules'!$A$2:$A$39,G252)=0,"rule 없음",""))</f>
        <v/>
      </c>
      <c r="L252" s="20" t="str">
        <f>IF(G252="","",IF(ISNUMBER(SEARCH(G252,IFERROR(VLOOKUP(C252,'03_units'!$B$2:$F$21,5,FALSE()),""))),"","unit 불일치"))</f>
        <v/>
      </c>
    </row>
    <row r="253" spans="1:12" ht="15" customHeight="1">
      <c r="A253" s="17" t="s">
        <v>1328</v>
      </c>
      <c r="B253" s="17">
        <v>5</v>
      </c>
      <c r="C253" s="17" t="s">
        <v>217</v>
      </c>
      <c r="D253" s="17" t="s">
        <v>1329</v>
      </c>
      <c r="E253" s="18" t="s">
        <v>1330</v>
      </c>
      <c r="F253" s="18" t="s">
        <v>313</v>
      </c>
      <c r="G253" s="17" t="s">
        <v>310</v>
      </c>
      <c r="H253" s="19" t="s">
        <v>95</v>
      </c>
      <c r="I253" s="19"/>
      <c r="J253" s="20" t="str">
        <f t="shared" si="3"/>
        <v/>
      </c>
      <c r="K253" s="20" t="str">
        <f>IF(G253="","",IF(COUNTIF('01_rules'!$A$2:$A$39,G253)=0,"rule 없음",""))</f>
        <v/>
      </c>
      <c r="L253" s="20" t="str">
        <f>IF(G253="","",IF(ISNUMBER(SEARCH(G253,IFERROR(VLOOKUP(C253,'03_units'!$B$2:$F$21,5,FALSE()),""))),"","unit 불일치"))</f>
        <v/>
      </c>
    </row>
    <row r="254" spans="1:12" ht="15" customHeight="1">
      <c r="A254" s="17" t="s">
        <v>1331</v>
      </c>
      <c r="B254" s="17">
        <v>5</v>
      </c>
      <c r="C254" s="17" t="s">
        <v>217</v>
      </c>
      <c r="D254" s="17" t="s">
        <v>1332</v>
      </c>
      <c r="E254" s="18" t="s">
        <v>1333</v>
      </c>
      <c r="F254" s="18" t="s">
        <v>145</v>
      </c>
      <c r="G254" s="17" t="s">
        <v>141</v>
      </c>
      <c r="H254" s="19" t="s">
        <v>95</v>
      </c>
      <c r="I254" s="19"/>
      <c r="J254" s="20" t="str">
        <f t="shared" si="3"/>
        <v/>
      </c>
      <c r="K254" s="20" t="str">
        <f>IF(G254="","",IF(COUNTIF('01_rules'!$A$2:$A$39,G254)=0,"rule 없음",""))</f>
        <v/>
      </c>
      <c r="L254" s="20" t="str">
        <f>IF(G254="","",IF(ISNUMBER(SEARCH(G254,IFERROR(VLOOKUP(C254,'03_units'!$B$2:$F$21,5,FALSE()),""))),"","unit 불일치"))</f>
        <v/>
      </c>
    </row>
    <row r="255" spans="1:12" ht="15" customHeight="1">
      <c r="A255" s="17" t="s">
        <v>1334</v>
      </c>
      <c r="B255" s="17">
        <v>5</v>
      </c>
      <c r="C255" s="17" t="s">
        <v>217</v>
      </c>
      <c r="D255" s="17" t="s">
        <v>1335</v>
      </c>
      <c r="E255" s="18" t="s">
        <v>1336</v>
      </c>
      <c r="F255" s="18" t="s">
        <v>336</v>
      </c>
      <c r="G255" s="17" t="s">
        <v>334</v>
      </c>
      <c r="H255" s="19" t="s">
        <v>95</v>
      </c>
      <c r="I255" s="19"/>
      <c r="J255" s="20" t="str">
        <f t="shared" si="3"/>
        <v/>
      </c>
      <c r="K255" s="20" t="str">
        <f>IF(G255="","",IF(COUNTIF('01_rules'!$A$2:$A$39,G255)=0,"rule 없음",""))</f>
        <v/>
      </c>
      <c r="L255" s="20" t="str">
        <f>IF(G255="","",IF(ISNUMBER(SEARCH(G255,IFERROR(VLOOKUP(C255,'03_units'!$B$2:$F$21,5,FALSE()),""))),"","unit 불일치"))</f>
        <v/>
      </c>
    </row>
    <row r="256" spans="1:12" ht="15" customHeight="1">
      <c r="A256" s="17" t="s">
        <v>1337</v>
      </c>
      <c r="B256" s="17">
        <v>5</v>
      </c>
      <c r="C256" s="17" t="s">
        <v>217</v>
      </c>
      <c r="D256" s="17" t="s">
        <v>1338</v>
      </c>
      <c r="E256" s="18" t="s">
        <v>1339</v>
      </c>
      <c r="F256" s="18" t="s">
        <v>336</v>
      </c>
      <c r="G256" s="17" t="s">
        <v>334</v>
      </c>
      <c r="H256" s="19" t="s">
        <v>95</v>
      </c>
      <c r="I256" s="19"/>
      <c r="J256" s="20" t="str">
        <f t="shared" si="3"/>
        <v/>
      </c>
      <c r="K256" s="20" t="str">
        <f>IF(G256="","",IF(COUNTIF('01_rules'!$A$2:$A$39,G256)=0,"rule 없음",""))</f>
        <v/>
      </c>
      <c r="L256" s="20" t="str">
        <f>IF(G256="","",IF(ISNUMBER(SEARCH(G256,IFERROR(VLOOKUP(C256,'03_units'!$B$2:$F$21,5,FALSE()),""))),"","unit 불일치"))</f>
        <v/>
      </c>
    </row>
    <row r="257" spans="1:12" ht="15" customHeight="1">
      <c r="A257" s="17" t="s">
        <v>1340</v>
      </c>
      <c r="B257" s="17">
        <v>6</v>
      </c>
      <c r="C257" s="17" t="s">
        <v>217</v>
      </c>
      <c r="D257" s="17" t="s">
        <v>1341</v>
      </c>
      <c r="E257" s="18" t="s">
        <v>1342</v>
      </c>
      <c r="F257" s="18" t="s">
        <v>145</v>
      </c>
      <c r="G257" s="17" t="s">
        <v>141</v>
      </c>
      <c r="H257" s="19" t="s">
        <v>95</v>
      </c>
      <c r="I257" s="19"/>
      <c r="J257" s="20" t="str">
        <f t="shared" si="3"/>
        <v/>
      </c>
      <c r="K257" s="20" t="str">
        <f>IF(G257="","",IF(COUNTIF('01_rules'!$A$2:$A$39,G257)=0,"rule 없음",""))</f>
        <v/>
      </c>
      <c r="L257" s="20" t="str">
        <f>IF(G257="","",IF(ISNUMBER(SEARCH(G257,IFERROR(VLOOKUP(C257,'03_units'!$B$2:$F$21,5,FALSE()),""))),"","unit 불일치"))</f>
        <v/>
      </c>
    </row>
    <row r="258" spans="1:12" ht="15" customHeight="1">
      <c r="A258" s="17" t="s">
        <v>1343</v>
      </c>
      <c r="B258" s="17">
        <v>6</v>
      </c>
      <c r="C258" s="17" t="s">
        <v>217</v>
      </c>
      <c r="D258" s="17" t="s">
        <v>1344</v>
      </c>
      <c r="E258" s="18" t="s">
        <v>1345</v>
      </c>
      <c r="F258" s="18" t="s">
        <v>145</v>
      </c>
      <c r="G258" s="17" t="s">
        <v>141</v>
      </c>
      <c r="H258" s="19" t="s">
        <v>95</v>
      </c>
      <c r="I258" s="19"/>
      <c r="J258" s="20" t="str">
        <f t="shared" ref="J258:J321" si="4">IF(A258="","",IF(COUNTIF($A$2:$A$401,A258)&gt;1,"중복",""))</f>
        <v/>
      </c>
      <c r="K258" s="20" t="str">
        <f>IF(G258="","",IF(COUNTIF('01_rules'!$A$2:$A$39,G258)=0,"rule 없음",""))</f>
        <v/>
      </c>
      <c r="L258" s="20" t="str">
        <f>IF(G258="","",IF(ISNUMBER(SEARCH(G258,IFERROR(VLOOKUP(C258,'03_units'!$B$2:$F$21,5,FALSE()),""))),"","unit 불일치"))</f>
        <v/>
      </c>
    </row>
    <row r="259" spans="1:12" ht="15" customHeight="1">
      <c r="A259" s="17" t="s">
        <v>1346</v>
      </c>
      <c r="B259" s="17">
        <v>6</v>
      </c>
      <c r="C259" s="17" t="s">
        <v>217</v>
      </c>
      <c r="D259" s="17" t="s">
        <v>1347</v>
      </c>
      <c r="E259" s="18" t="s">
        <v>1348</v>
      </c>
      <c r="F259" s="18" t="s">
        <v>336</v>
      </c>
      <c r="G259" s="17" t="s">
        <v>334</v>
      </c>
      <c r="H259" s="19" t="s">
        <v>95</v>
      </c>
      <c r="I259" s="19"/>
      <c r="J259" s="20" t="str">
        <f t="shared" si="4"/>
        <v/>
      </c>
      <c r="K259" s="20" t="str">
        <f>IF(G259="","",IF(COUNTIF('01_rules'!$A$2:$A$39,G259)=0,"rule 없음",""))</f>
        <v/>
      </c>
      <c r="L259" s="20" t="str">
        <f>IF(G259="","",IF(ISNUMBER(SEARCH(G259,IFERROR(VLOOKUP(C259,'03_units'!$B$2:$F$21,5,FALSE()),""))),"","unit 불일치"))</f>
        <v/>
      </c>
    </row>
    <row r="260" spans="1:12" ht="15" customHeight="1">
      <c r="A260" s="17" t="s">
        <v>1349</v>
      </c>
      <c r="B260" s="17">
        <v>6</v>
      </c>
      <c r="C260" s="17" t="s">
        <v>217</v>
      </c>
      <c r="D260" s="17" t="s">
        <v>1350</v>
      </c>
      <c r="E260" s="18" t="s">
        <v>1351</v>
      </c>
      <c r="F260" s="18" t="s">
        <v>336</v>
      </c>
      <c r="G260" s="17" t="s">
        <v>334</v>
      </c>
      <c r="H260" s="19" t="s">
        <v>95</v>
      </c>
      <c r="I260" s="19"/>
      <c r="J260" s="20" t="str">
        <f t="shared" si="4"/>
        <v/>
      </c>
      <c r="K260" s="20" t="str">
        <f>IF(G260="","",IF(COUNTIF('01_rules'!$A$2:$A$39,G260)=0,"rule 없음",""))</f>
        <v/>
      </c>
      <c r="L260" s="20" t="str">
        <f>IF(G260="","",IF(ISNUMBER(SEARCH(G260,IFERROR(VLOOKUP(C260,'03_units'!$B$2:$F$21,5,FALSE()),""))),"","unit 불일치"))</f>
        <v/>
      </c>
    </row>
    <row r="261" spans="1:12" ht="15" customHeight="1">
      <c r="A261" s="17" t="s">
        <v>1352</v>
      </c>
      <c r="B261" s="17">
        <v>6</v>
      </c>
      <c r="C261" s="17" t="s">
        <v>217</v>
      </c>
      <c r="D261" s="17" t="s">
        <v>1353</v>
      </c>
      <c r="E261" s="18" t="s">
        <v>1354</v>
      </c>
      <c r="F261" s="18" t="s">
        <v>336</v>
      </c>
      <c r="G261" s="17" t="s">
        <v>334</v>
      </c>
      <c r="H261" s="19" t="s">
        <v>95</v>
      </c>
      <c r="I261" s="19"/>
      <c r="J261" s="20" t="str">
        <f t="shared" si="4"/>
        <v/>
      </c>
      <c r="K261" s="20" t="str">
        <f>IF(G261="","",IF(COUNTIF('01_rules'!$A$2:$A$39,G261)=0,"rule 없음",""))</f>
        <v/>
      </c>
      <c r="L261" s="20" t="str">
        <f>IF(G261="","",IF(ISNUMBER(SEARCH(G261,IFERROR(VLOOKUP(C261,'03_units'!$B$2:$F$21,5,FALSE()),""))),"","unit 불일치"))</f>
        <v/>
      </c>
    </row>
    <row r="262" spans="1:12" ht="15" customHeight="1">
      <c r="A262" s="17" t="s">
        <v>1355</v>
      </c>
      <c r="B262" s="17">
        <v>3</v>
      </c>
      <c r="C262" s="17" t="s">
        <v>224</v>
      </c>
      <c r="D262" s="17" t="s">
        <v>1356</v>
      </c>
      <c r="E262" s="18" t="s">
        <v>1357</v>
      </c>
      <c r="F262" s="18" t="s">
        <v>226</v>
      </c>
      <c r="G262" s="17" t="s">
        <v>222</v>
      </c>
      <c r="H262" s="19" t="s">
        <v>95</v>
      </c>
      <c r="I262" s="19"/>
      <c r="J262" s="20" t="str">
        <f t="shared" si="4"/>
        <v/>
      </c>
      <c r="K262" s="20" t="str">
        <f>IF(G262="","",IF(COUNTIF('01_rules'!$A$2:$A$39,G262)=0,"rule 없음",""))</f>
        <v/>
      </c>
      <c r="L262" s="20" t="str">
        <f>IF(G262="","",IF(ISNUMBER(SEARCH(G262,IFERROR(VLOOKUP(C262,'03_units'!$B$2:$F$21,5,FALSE()),""))),"","unit 불일치"))</f>
        <v/>
      </c>
    </row>
    <row r="263" spans="1:12" ht="15" customHeight="1">
      <c r="A263" s="17" t="s">
        <v>1358</v>
      </c>
      <c r="B263" s="17">
        <v>3</v>
      </c>
      <c r="C263" s="17" t="s">
        <v>224</v>
      </c>
      <c r="D263" s="17" t="s">
        <v>1359</v>
      </c>
      <c r="E263" s="18" t="s">
        <v>1360</v>
      </c>
      <c r="F263" s="18" t="s">
        <v>226</v>
      </c>
      <c r="G263" s="17" t="s">
        <v>222</v>
      </c>
      <c r="H263" s="19" t="s">
        <v>95</v>
      </c>
      <c r="I263" s="19"/>
      <c r="J263" s="20" t="str">
        <f t="shared" si="4"/>
        <v/>
      </c>
      <c r="K263" s="20" t="str">
        <f>IF(G263="","",IF(COUNTIF('01_rules'!$A$2:$A$39,G263)=0,"rule 없음",""))</f>
        <v/>
      </c>
      <c r="L263" s="20" t="str">
        <f>IF(G263="","",IF(ISNUMBER(SEARCH(G263,IFERROR(VLOOKUP(C263,'03_units'!$B$2:$F$21,5,FALSE()),""))),"","unit 불일치"))</f>
        <v/>
      </c>
    </row>
    <row r="264" spans="1:12" ht="29.25" customHeight="1">
      <c r="A264" s="17" t="s">
        <v>1361</v>
      </c>
      <c r="B264" s="17">
        <v>3</v>
      </c>
      <c r="C264" s="17" t="s">
        <v>224</v>
      </c>
      <c r="D264" s="17" t="s">
        <v>1362</v>
      </c>
      <c r="E264" s="18" t="s">
        <v>1363</v>
      </c>
      <c r="F264" s="18" t="s">
        <v>336</v>
      </c>
      <c r="G264" s="17" t="s">
        <v>334</v>
      </c>
      <c r="H264" s="19" t="s">
        <v>95</v>
      </c>
      <c r="I264" s="19"/>
      <c r="J264" s="20" t="str">
        <f t="shared" si="4"/>
        <v/>
      </c>
      <c r="K264" s="20" t="str">
        <f>IF(G264="","",IF(COUNTIF('01_rules'!$A$2:$A$39,G264)=0,"rule 없음",""))</f>
        <v/>
      </c>
      <c r="L264" s="20" t="str">
        <f>IF(G264="","",IF(ISNUMBER(SEARCH(G264,IFERROR(VLOOKUP(C264,'03_units'!$B$2:$F$21,5,FALSE()),""))),"","unit 불일치"))</f>
        <v/>
      </c>
    </row>
    <row r="265" spans="1:12" ht="15" customHeight="1">
      <c r="A265" s="17" t="s">
        <v>1364</v>
      </c>
      <c r="B265" s="17">
        <v>3</v>
      </c>
      <c r="C265" s="17" t="s">
        <v>224</v>
      </c>
      <c r="D265" s="17" t="s">
        <v>1365</v>
      </c>
      <c r="E265" s="18" t="s">
        <v>1366</v>
      </c>
      <c r="F265" s="18" t="s">
        <v>184</v>
      </c>
      <c r="G265" s="17" t="s">
        <v>181</v>
      </c>
      <c r="H265" s="19" t="s">
        <v>95</v>
      </c>
      <c r="I265" s="19"/>
      <c r="J265" s="20" t="str">
        <f t="shared" si="4"/>
        <v/>
      </c>
      <c r="K265" s="20" t="str">
        <f>IF(G265="","",IF(COUNTIF('01_rules'!$A$2:$A$39,G265)=0,"rule 없음",""))</f>
        <v/>
      </c>
      <c r="L265" s="20" t="str">
        <f>IF(G265="","",IF(ISNUMBER(SEARCH(G265,IFERROR(VLOOKUP(C265,'03_units'!$B$2:$F$21,5,FALSE()),""))),"","unit 불일치"))</f>
        <v/>
      </c>
    </row>
    <row r="266" spans="1:12" ht="15" customHeight="1">
      <c r="A266" s="17" t="s">
        <v>1367</v>
      </c>
      <c r="B266" s="17">
        <v>3</v>
      </c>
      <c r="C266" s="17" t="s">
        <v>224</v>
      </c>
      <c r="D266" s="17" t="s">
        <v>1368</v>
      </c>
      <c r="E266" s="18" t="s">
        <v>1369</v>
      </c>
      <c r="F266" s="18" t="s">
        <v>331</v>
      </c>
      <c r="G266" s="17" t="s">
        <v>329</v>
      </c>
      <c r="H266" s="19" t="s">
        <v>95</v>
      </c>
      <c r="I266" s="19"/>
      <c r="J266" s="20" t="str">
        <f t="shared" si="4"/>
        <v/>
      </c>
      <c r="K266" s="20" t="str">
        <f>IF(G266="","",IF(COUNTIF('01_rules'!$A$2:$A$39,G266)=0,"rule 없음",""))</f>
        <v/>
      </c>
      <c r="L266" s="20" t="str">
        <f>IF(G266="","",IF(ISNUMBER(SEARCH(G266,IFERROR(VLOOKUP(C266,'03_units'!$B$2:$F$21,5,FALSE()),""))),"","unit 불일치"))</f>
        <v/>
      </c>
    </row>
    <row r="267" spans="1:12" ht="15" customHeight="1">
      <c r="A267" s="17" t="s">
        <v>1370</v>
      </c>
      <c r="B267" s="17">
        <v>4</v>
      </c>
      <c r="C267" s="17" t="s">
        <v>224</v>
      </c>
      <c r="D267" s="17" t="s">
        <v>1371</v>
      </c>
      <c r="E267" s="18" t="s">
        <v>1372</v>
      </c>
      <c r="F267" s="18" t="s">
        <v>226</v>
      </c>
      <c r="G267" s="17" t="s">
        <v>222</v>
      </c>
      <c r="H267" s="19" t="s">
        <v>95</v>
      </c>
      <c r="I267" s="19"/>
      <c r="J267" s="20" t="str">
        <f t="shared" si="4"/>
        <v/>
      </c>
      <c r="K267" s="20" t="str">
        <f>IF(G267="","",IF(COUNTIF('01_rules'!$A$2:$A$39,G267)=0,"rule 없음",""))</f>
        <v/>
      </c>
      <c r="L267" s="20" t="str">
        <f>IF(G267="","",IF(ISNUMBER(SEARCH(G267,IFERROR(VLOOKUP(C267,'03_units'!$B$2:$F$21,5,FALSE()),""))),"","unit 불일치"))</f>
        <v/>
      </c>
    </row>
    <row r="268" spans="1:12" ht="15" customHeight="1">
      <c r="A268" s="17" t="s">
        <v>1373</v>
      </c>
      <c r="B268" s="17">
        <v>4</v>
      </c>
      <c r="C268" s="17" t="s">
        <v>224</v>
      </c>
      <c r="D268" s="17" t="s">
        <v>1374</v>
      </c>
      <c r="E268" s="18" t="s">
        <v>1375</v>
      </c>
      <c r="F268" s="18" t="s">
        <v>226</v>
      </c>
      <c r="G268" s="17" t="s">
        <v>222</v>
      </c>
      <c r="H268" s="19" t="s">
        <v>95</v>
      </c>
      <c r="I268" s="19"/>
      <c r="J268" s="20" t="str">
        <f t="shared" si="4"/>
        <v/>
      </c>
      <c r="K268" s="20" t="str">
        <f>IF(G268="","",IF(COUNTIF('01_rules'!$A$2:$A$39,G268)=0,"rule 없음",""))</f>
        <v/>
      </c>
      <c r="L268" s="20" t="str">
        <f>IF(G268="","",IF(ISNUMBER(SEARCH(G268,IFERROR(VLOOKUP(C268,'03_units'!$B$2:$F$21,5,FALSE()),""))),"","unit 불일치"))</f>
        <v/>
      </c>
    </row>
    <row r="269" spans="1:12" ht="15" customHeight="1">
      <c r="A269" s="17" t="s">
        <v>1376</v>
      </c>
      <c r="B269" s="17">
        <v>4</v>
      </c>
      <c r="C269" s="17" t="s">
        <v>224</v>
      </c>
      <c r="D269" s="17" t="s">
        <v>1377</v>
      </c>
      <c r="E269" s="18" t="s">
        <v>1378</v>
      </c>
      <c r="F269" s="18" t="s">
        <v>226</v>
      </c>
      <c r="G269" s="17" t="s">
        <v>222</v>
      </c>
      <c r="H269" s="19" t="s">
        <v>95</v>
      </c>
      <c r="I269" s="19"/>
      <c r="J269" s="20" t="str">
        <f t="shared" si="4"/>
        <v/>
      </c>
      <c r="K269" s="20" t="str">
        <f>IF(G269="","",IF(COUNTIF('01_rules'!$A$2:$A$39,G269)=0,"rule 없음",""))</f>
        <v/>
      </c>
      <c r="L269" s="20" t="str">
        <f>IF(G269="","",IF(ISNUMBER(SEARCH(G269,IFERROR(VLOOKUP(C269,'03_units'!$B$2:$F$21,5,FALSE()),""))),"","unit 불일치"))</f>
        <v/>
      </c>
    </row>
    <row r="270" spans="1:12" ht="15" customHeight="1">
      <c r="A270" s="17" t="s">
        <v>1379</v>
      </c>
      <c r="B270" s="17">
        <v>4</v>
      </c>
      <c r="C270" s="17" t="s">
        <v>224</v>
      </c>
      <c r="D270" s="17" t="s">
        <v>1380</v>
      </c>
      <c r="E270" s="18" t="s">
        <v>1381</v>
      </c>
      <c r="F270" s="18" t="s">
        <v>165</v>
      </c>
      <c r="G270" s="17" t="s">
        <v>161</v>
      </c>
      <c r="H270" s="19" t="s">
        <v>95</v>
      </c>
      <c r="I270" s="19"/>
      <c r="J270" s="20" t="str">
        <f t="shared" si="4"/>
        <v/>
      </c>
      <c r="K270" s="20" t="str">
        <f>IF(G270="","",IF(COUNTIF('01_rules'!$A$2:$A$39,G270)=0,"rule 없음",""))</f>
        <v/>
      </c>
      <c r="L270" s="20" t="str">
        <f>IF(G270="","",IF(ISNUMBER(SEARCH(G270,IFERROR(VLOOKUP(C270,'03_units'!$B$2:$F$21,5,FALSE()),""))),"","unit 불일치"))</f>
        <v/>
      </c>
    </row>
    <row r="271" spans="1:12" ht="15" customHeight="1">
      <c r="A271" s="17" t="s">
        <v>1382</v>
      </c>
      <c r="B271" s="17">
        <v>4</v>
      </c>
      <c r="C271" s="17" t="s">
        <v>224</v>
      </c>
      <c r="D271" s="17" t="s">
        <v>1383</v>
      </c>
      <c r="E271" s="18" t="s">
        <v>1384</v>
      </c>
      <c r="F271" s="18" t="s">
        <v>232</v>
      </c>
      <c r="G271" s="17" t="s">
        <v>229</v>
      </c>
      <c r="H271" s="19" t="s">
        <v>95</v>
      </c>
      <c r="I271" s="19"/>
      <c r="J271" s="20" t="str">
        <f t="shared" si="4"/>
        <v/>
      </c>
      <c r="K271" s="20" t="str">
        <f>IF(G271="","",IF(COUNTIF('01_rules'!$A$2:$A$39,G271)=0,"rule 없음",""))</f>
        <v/>
      </c>
      <c r="L271" s="20" t="str">
        <f>IF(G271="","",IF(ISNUMBER(SEARCH(G271,IFERROR(VLOOKUP(C271,'03_units'!$B$2:$F$21,5,FALSE()),""))),"","unit 불일치"))</f>
        <v/>
      </c>
    </row>
    <row r="272" spans="1:12" ht="15" customHeight="1">
      <c r="A272" s="17" t="s">
        <v>1385</v>
      </c>
      <c r="B272" s="17">
        <v>5</v>
      </c>
      <c r="C272" s="17" t="s">
        <v>224</v>
      </c>
      <c r="D272" s="17" t="s">
        <v>1386</v>
      </c>
      <c r="E272" s="18" t="s">
        <v>1387</v>
      </c>
      <c r="F272" s="18" t="s">
        <v>226</v>
      </c>
      <c r="G272" s="17" t="s">
        <v>222</v>
      </c>
      <c r="H272" s="19" t="s">
        <v>95</v>
      </c>
      <c r="I272" s="19"/>
      <c r="J272" s="20" t="str">
        <f t="shared" si="4"/>
        <v/>
      </c>
      <c r="K272" s="20" t="str">
        <f>IF(G272="","",IF(COUNTIF('01_rules'!$A$2:$A$39,G272)=0,"rule 없음",""))</f>
        <v/>
      </c>
      <c r="L272" s="20" t="str">
        <f>IF(G272="","",IF(ISNUMBER(SEARCH(G272,IFERROR(VLOOKUP(C272,'03_units'!$B$2:$F$21,5,FALSE()),""))),"","unit 불일치"))</f>
        <v/>
      </c>
    </row>
    <row r="273" spans="1:12" ht="15" customHeight="1">
      <c r="A273" s="17" t="s">
        <v>1388</v>
      </c>
      <c r="B273" s="17">
        <v>5</v>
      </c>
      <c r="C273" s="17" t="s">
        <v>224</v>
      </c>
      <c r="D273" s="17" t="s">
        <v>1389</v>
      </c>
      <c r="E273" s="18" t="s">
        <v>1390</v>
      </c>
      <c r="F273" s="18" t="s">
        <v>226</v>
      </c>
      <c r="G273" s="17" t="s">
        <v>222</v>
      </c>
      <c r="H273" s="19" t="s">
        <v>95</v>
      </c>
      <c r="I273" s="19"/>
      <c r="J273" s="20" t="str">
        <f t="shared" si="4"/>
        <v/>
      </c>
      <c r="K273" s="20" t="str">
        <f>IF(G273="","",IF(COUNTIF('01_rules'!$A$2:$A$39,G273)=0,"rule 없음",""))</f>
        <v/>
      </c>
      <c r="L273" s="20" t="str">
        <f>IF(G273="","",IF(ISNUMBER(SEARCH(G273,IFERROR(VLOOKUP(C273,'03_units'!$B$2:$F$21,5,FALSE()),""))),"","unit 불일치"))</f>
        <v/>
      </c>
    </row>
    <row r="274" spans="1:12" ht="15" customHeight="1">
      <c r="A274" s="17" t="s">
        <v>1391</v>
      </c>
      <c r="B274" s="17">
        <v>5</v>
      </c>
      <c r="C274" s="17" t="s">
        <v>224</v>
      </c>
      <c r="D274" s="17" t="s">
        <v>1392</v>
      </c>
      <c r="E274" s="18" t="s">
        <v>1393</v>
      </c>
      <c r="F274" s="18" t="s">
        <v>336</v>
      </c>
      <c r="G274" s="17" t="s">
        <v>334</v>
      </c>
      <c r="H274" s="19" t="s">
        <v>95</v>
      </c>
      <c r="I274" s="19"/>
      <c r="J274" s="20" t="str">
        <f t="shared" si="4"/>
        <v/>
      </c>
      <c r="K274" s="20" t="str">
        <f>IF(G274="","",IF(COUNTIF('01_rules'!$A$2:$A$39,G274)=0,"rule 없음",""))</f>
        <v/>
      </c>
      <c r="L274" s="20" t="str">
        <f>IF(G274="","",IF(ISNUMBER(SEARCH(G274,IFERROR(VLOOKUP(C274,'03_units'!$B$2:$F$21,5,FALSE()),""))),"","unit 불일치"))</f>
        <v/>
      </c>
    </row>
    <row r="275" spans="1:12" ht="15" customHeight="1">
      <c r="A275" s="17" t="s">
        <v>1394</v>
      </c>
      <c r="B275" s="17">
        <v>5</v>
      </c>
      <c r="C275" s="17" t="s">
        <v>224</v>
      </c>
      <c r="D275" s="17" t="s">
        <v>1395</v>
      </c>
      <c r="E275" s="18" t="s">
        <v>1396</v>
      </c>
      <c r="F275" s="18" t="s">
        <v>336</v>
      </c>
      <c r="G275" s="17" t="s">
        <v>334</v>
      </c>
      <c r="H275" s="19" t="s">
        <v>95</v>
      </c>
      <c r="I275" s="19"/>
      <c r="J275" s="20" t="str">
        <f t="shared" si="4"/>
        <v/>
      </c>
      <c r="K275" s="20" t="str">
        <f>IF(G275="","",IF(COUNTIF('01_rules'!$A$2:$A$39,G275)=0,"rule 없음",""))</f>
        <v/>
      </c>
      <c r="L275" s="20" t="str">
        <f>IF(G275="","",IF(ISNUMBER(SEARCH(G275,IFERROR(VLOOKUP(C275,'03_units'!$B$2:$F$21,5,FALSE()),""))),"","unit 불일치"))</f>
        <v/>
      </c>
    </row>
    <row r="276" spans="1:12" ht="15" customHeight="1">
      <c r="A276" s="17" t="s">
        <v>1397</v>
      </c>
      <c r="B276" s="17">
        <v>5</v>
      </c>
      <c r="C276" s="17" t="s">
        <v>224</v>
      </c>
      <c r="D276" s="17" t="s">
        <v>1398</v>
      </c>
      <c r="E276" s="18" t="s">
        <v>1399</v>
      </c>
      <c r="F276" s="18" t="s">
        <v>336</v>
      </c>
      <c r="G276" s="17" t="s">
        <v>334</v>
      </c>
      <c r="H276" s="19" t="s">
        <v>95</v>
      </c>
      <c r="I276" s="19"/>
      <c r="J276" s="20" t="str">
        <f t="shared" si="4"/>
        <v/>
      </c>
      <c r="K276" s="20" t="str">
        <f>IF(G276="","",IF(COUNTIF('01_rules'!$A$2:$A$39,G276)=0,"rule 없음",""))</f>
        <v/>
      </c>
      <c r="L276" s="20" t="str">
        <f>IF(G276="","",IF(ISNUMBER(SEARCH(G276,IFERROR(VLOOKUP(C276,'03_units'!$B$2:$F$21,5,FALSE()),""))),"","unit 불일치"))</f>
        <v/>
      </c>
    </row>
    <row r="277" spans="1:12" ht="29.25" customHeight="1">
      <c r="A277" s="17" t="s">
        <v>1400</v>
      </c>
      <c r="B277" s="17">
        <v>6</v>
      </c>
      <c r="C277" s="17" t="s">
        <v>224</v>
      </c>
      <c r="D277" s="17" t="s">
        <v>1401</v>
      </c>
      <c r="E277" s="18" t="s">
        <v>1402</v>
      </c>
      <c r="F277" s="18" t="s">
        <v>336</v>
      </c>
      <c r="G277" s="17" t="s">
        <v>334</v>
      </c>
      <c r="H277" s="19" t="s">
        <v>95</v>
      </c>
      <c r="I277" s="19"/>
      <c r="J277" s="20" t="str">
        <f t="shared" si="4"/>
        <v/>
      </c>
      <c r="K277" s="20" t="str">
        <f>IF(G277="","",IF(COUNTIF('01_rules'!$A$2:$A$39,G277)=0,"rule 없음",""))</f>
        <v/>
      </c>
      <c r="L277" s="20" t="str">
        <f>IF(G277="","",IF(ISNUMBER(SEARCH(G277,IFERROR(VLOOKUP(C277,'03_units'!$B$2:$F$21,5,FALSE()),""))),"","unit 불일치"))</f>
        <v/>
      </c>
    </row>
    <row r="278" spans="1:12" ht="29.25" customHeight="1">
      <c r="A278" s="17" t="s">
        <v>1403</v>
      </c>
      <c r="B278" s="17">
        <v>6</v>
      </c>
      <c r="C278" s="17" t="s">
        <v>224</v>
      </c>
      <c r="D278" s="17" t="s">
        <v>1404</v>
      </c>
      <c r="E278" s="18" t="s">
        <v>1405</v>
      </c>
      <c r="F278" s="18" t="s">
        <v>336</v>
      </c>
      <c r="G278" s="17" t="s">
        <v>334</v>
      </c>
      <c r="H278" s="19" t="s">
        <v>95</v>
      </c>
      <c r="I278" s="19"/>
      <c r="J278" s="20" t="str">
        <f t="shared" si="4"/>
        <v/>
      </c>
      <c r="K278" s="20" t="str">
        <f>IF(G278="","",IF(COUNTIF('01_rules'!$A$2:$A$39,G278)=0,"rule 없음",""))</f>
        <v/>
      </c>
      <c r="L278" s="20" t="str">
        <f>IF(G278="","",IF(ISNUMBER(SEARCH(G278,IFERROR(VLOOKUP(C278,'03_units'!$B$2:$F$21,5,FALSE()),""))),"","unit 불일치"))</f>
        <v/>
      </c>
    </row>
    <row r="279" spans="1:12" ht="15" customHeight="1">
      <c r="A279" s="17" t="s">
        <v>1406</v>
      </c>
      <c r="B279" s="17">
        <v>6</v>
      </c>
      <c r="C279" s="17" t="s">
        <v>224</v>
      </c>
      <c r="D279" s="17" t="s">
        <v>1407</v>
      </c>
      <c r="E279" s="18" t="s">
        <v>1408</v>
      </c>
      <c r="F279" s="18" t="s">
        <v>313</v>
      </c>
      <c r="G279" s="17" t="s">
        <v>310</v>
      </c>
      <c r="H279" s="19" t="s">
        <v>95</v>
      </c>
      <c r="I279" s="19"/>
      <c r="J279" s="20" t="str">
        <f t="shared" si="4"/>
        <v/>
      </c>
      <c r="K279" s="20" t="str">
        <f>IF(G279="","",IF(COUNTIF('01_rules'!$A$2:$A$39,G279)=0,"rule 없음",""))</f>
        <v/>
      </c>
      <c r="L279" s="20" t="str">
        <f>IF(G279="","",IF(ISNUMBER(SEARCH(G279,IFERROR(VLOOKUP(C279,'03_units'!$B$2:$F$21,5,FALSE()),""))),"","unit 불일치"))</f>
        <v/>
      </c>
    </row>
    <row r="280" spans="1:12" ht="15" customHeight="1">
      <c r="A280" s="17" t="s">
        <v>1409</v>
      </c>
      <c r="B280" s="17">
        <v>6</v>
      </c>
      <c r="C280" s="17" t="s">
        <v>224</v>
      </c>
      <c r="D280" s="17" t="s">
        <v>1410</v>
      </c>
      <c r="E280" s="18" t="s">
        <v>1411</v>
      </c>
      <c r="F280" s="18" t="s">
        <v>232</v>
      </c>
      <c r="G280" s="17" t="s">
        <v>229</v>
      </c>
      <c r="H280" s="19" t="s">
        <v>95</v>
      </c>
      <c r="I280" s="19"/>
      <c r="J280" s="20" t="str">
        <f t="shared" si="4"/>
        <v/>
      </c>
      <c r="K280" s="20" t="str">
        <f>IF(G280="","",IF(COUNTIF('01_rules'!$A$2:$A$39,G280)=0,"rule 없음",""))</f>
        <v/>
      </c>
      <c r="L280" s="20" t="str">
        <f>IF(G280="","",IF(ISNUMBER(SEARCH(G280,IFERROR(VLOOKUP(C280,'03_units'!$B$2:$F$21,5,FALSE()),""))),"","unit 불일치"))</f>
        <v/>
      </c>
    </row>
    <row r="281" spans="1:12" ht="15" customHeight="1">
      <c r="A281" s="17" t="s">
        <v>1412</v>
      </c>
      <c r="B281" s="17">
        <v>6</v>
      </c>
      <c r="C281" s="17" t="s">
        <v>224</v>
      </c>
      <c r="D281" s="17" t="s">
        <v>1413</v>
      </c>
      <c r="E281" s="18" t="s">
        <v>1414</v>
      </c>
      <c r="F281" s="18" t="s">
        <v>91</v>
      </c>
      <c r="G281" s="17" t="s">
        <v>87</v>
      </c>
      <c r="H281" s="19" t="s">
        <v>95</v>
      </c>
      <c r="I281" s="19"/>
      <c r="J281" s="20" t="str">
        <f t="shared" si="4"/>
        <v/>
      </c>
      <c r="K281" s="20" t="str">
        <f>IF(G281="","",IF(COUNTIF('01_rules'!$A$2:$A$39,G281)=0,"rule 없음",""))</f>
        <v/>
      </c>
      <c r="L281" s="20" t="str">
        <f>IF(G281="","",IF(ISNUMBER(SEARCH(G281,IFERROR(VLOOKUP(C281,'03_units'!$B$2:$F$21,5,FALSE()),""))),"","unit 불일치"))</f>
        <v/>
      </c>
    </row>
    <row r="282" spans="1:12" ht="15" customHeight="1">
      <c r="A282" s="17" t="s">
        <v>1415</v>
      </c>
      <c r="B282" s="17">
        <v>3</v>
      </c>
      <c r="C282" s="17" t="s">
        <v>237</v>
      </c>
      <c r="D282" s="17" t="s">
        <v>1416</v>
      </c>
      <c r="E282" s="18" t="s">
        <v>1417</v>
      </c>
      <c r="F282" s="18" t="s">
        <v>239</v>
      </c>
      <c r="G282" s="17" t="s">
        <v>235</v>
      </c>
      <c r="H282" s="19" t="s">
        <v>95</v>
      </c>
      <c r="I282" s="19"/>
      <c r="J282" s="20" t="str">
        <f t="shared" si="4"/>
        <v/>
      </c>
      <c r="K282" s="20" t="str">
        <f>IF(G282="","",IF(COUNTIF('01_rules'!$A$2:$A$39,G282)=0,"rule 없음",""))</f>
        <v/>
      </c>
      <c r="L282" s="20" t="str">
        <f>IF(G282="","",IF(ISNUMBER(SEARCH(G282,IFERROR(VLOOKUP(C282,'03_units'!$B$2:$F$21,5,FALSE()),""))),"","unit 불일치"))</f>
        <v/>
      </c>
    </row>
    <row r="283" spans="1:12" ht="15" customHeight="1">
      <c r="A283" s="17" t="s">
        <v>1418</v>
      </c>
      <c r="B283" s="17">
        <v>3</v>
      </c>
      <c r="C283" s="17" t="s">
        <v>237</v>
      </c>
      <c r="D283" s="17" t="s">
        <v>1419</v>
      </c>
      <c r="E283" s="18" t="s">
        <v>1420</v>
      </c>
      <c r="F283" s="18" t="s">
        <v>239</v>
      </c>
      <c r="G283" s="17" t="s">
        <v>235</v>
      </c>
      <c r="H283" s="19" t="s">
        <v>95</v>
      </c>
      <c r="I283" s="19"/>
      <c r="J283" s="20" t="str">
        <f t="shared" si="4"/>
        <v/>
      </c>
      <c r="K283" s="20" t="str">
        <f>IF(G283="","",IF(COUNTIF('01_rules'!$A$2:$A$39,G283)=0,"rule 없음",""))</f>
        <v/>
      </c>
      <c r="L283" s="20" t="str">
        <f>IF(G283="","",IF(ISNUMBER(SEARCH(G283,IFERROR(VLOOKUP(C283,'03_units'!$B$2:$F$21,5,FALSE()),""))),"","unit 불일치"))</f>
        <v/>
      </c>
    </row>
    <row r="284" spans="1:12" ht="15" customHeight="1">
      <c r="A284" s="17" t="s">
        <v>1421</v>
      </c>
      <c r="B284" s="17">
        <v>3</v>
      </c>
      <c r="C284" s="17" t="s">
        <v>237</v>
      </c>
      <c r="D284" s="17" t="s">
        <v>1422</v>
      </c>
      <c r="E284" s="18" t="s">
        <v>1423</v>
      </c>
      <c r="F284" s="18" t="s">
        <v>239</v>
      </c>
      <c r="G284" s="17" t="s">
        <v>235</v>
      </c>
      <c r="H284" s="19" t="s">
        <v>95</v>
      </c>
      <c r="I284" s="19"/>
      <c r="J284" s="20" t="str">
        <f t="shared" si="4"/>
        <v/>
      </c>
      <c r="K284" s="20" t="str">
        <f>IF(G284="","",IF(COUNTIF('01_rules'!$A$2:$A$39,G284)=0,"rule 없음",""))</f>
        <v/>
      </c>
      <c r="L284" s="20" t="str">
        <f>IF(G284="","",IF(ISNUMBER(SEARCH(G284,IFERROR(VLOOKUP(C284,'03_units'!$B$2:$F$21,5,FALSE()),""))),"","unit 불일치"))</f>
        <v/>
      </c>
    </row>
    <row r="285" spans="1:12" ht="15" customHeight="1">
      <c r="A285" s="17" t="s">
        <v>1424</v>
      </c>
      <c r="B285" s="17">
        <v>3</v>
      </c>
      <c r="C285" s="17" t="s">
        <v>237</v>
      </c>
      <c r="D285" s="17" t="s">
        <v>1425</v>
      </c>
      <c r="E285" s="18" t="s">
        <v>1426</v>
      </c>
      <c r="F285" s="18" t="s">
        <v>239</v>
      </c>
      <c r="G285" s="17" t="s">
        <v>235</v>
      </c>
      <c r="H285" s="19" t="s">
        <v>95</v>
      </c>
      <c r="I285" s="19"/>
      <c r="J285" s="20" t="str">
        <f t="shared" si="4"/>
        <v/>
      </c>
      <c r="K285" s="20" t="str">
        <f>IF(G285="","",IF(COUNTIF('01_rules'!$A$2:$A$39,G285)=0,"rule 없음",""))</f>
        <v/>
      </c>
      <c r="L285" s="20" t="str">
        <f>IF(G285="","",IF(ISNUMBER(SEARCH(G285,IFERROR(VLOOKUP(C285,'03_units'!$B$2:$F$21,5,FALSE()),""))),"","unit 불일치"))</f>
        <v/>
      </c>
    </row>
    <row r="286" spans="1:12" ht="15" customHeight="1">
      <c r="A286" s="17" t="s">
        <v>1427</v>
      </c>
      <c r="B286" s="17">
        <v>3</v>
      </c>
      <c r="C286" s="17" t="s">
        <v>237</v>
      </c>
      <c r="D286" s="17" t="s">
        <v>1428</v>
      </c>
      <c r="E286" s="18" t="s">
        <v>1429</v>
      </c>
      <c r="F286" s="18" t="s">
        <v>239</v>
      </c>
      <c r="G286" s="17" t="s">
        <v>235</v>
      </c>
      <c r="H286" s="19" t="s">
        <v>95</v>
      </c>
      <c r="I286" s="19"/>
      <c r="J286" s="20" t="str">
        <f t="shared" si="4"/>
        <v/>
      </c>
      <c r="K286" s="20" t="str">
        <f>IF(G286="","",IF(COUNTIF('01_rules'!$A$2:$A$39,G286)=0,"rule 없음",""))</f>
        <v/>
      </c>
      <c r="L286" s="20" t="str">
        <f>IF(G286="","",IF(ISNUMBER(SEARCH(G286,IFERROR(VLOOKUP(C286,'03_units'!$B$2:$F$21,5,FALSE()),""))),"","unit 불일치"))</f>
        <v/>
      </c>
    </row>
    <row r="287" spans="1:12" ht="29.25" customHeight="1">
      <c r="A287" s="17" t="s">
        <v>1430</v>
      </c>
      <c r="B287" s="17">
        <v>4</v>
      </c>
      <c r="C287" s="17" t="s">
        <v>237</v>
      </c>
      <c r="D287" s="17" t="s">
        <v>1431</v>
      </c>
      <c r="E287" s="18" t="s">
        <v>1432</v>
      </c>
      <c r="F287" s="18" t="s">
        <v>239</v>
      </c>
      <c r="G287" s="17" t="s">
        <v>235</v>
      </c>
      <c r="H287" s="19" t="s">
        <v>95</v>
      </c>
      <c r="I287" s="19"/>
      <c r="J287" s="20" t="str">
        <f t="shared" si="4"/>
        <v/>
      </c>
      <c r="K287" s="20" t="str">
        <f>IF(G287="","",IF(COUNTIF('01_rules'!$A$2:$A$39,G287)=0,"rule 없음",""))</f>
        <v/>
      </c>
      <c r="L287" s="20" t="str">
        <f>IF(G287="","",IF(ISNUMBER(SEARCH(G287,IFERROR(VLOOKUP(C287,'03_units'!$B$2:$F$21,5,FALSE()),""))),"","unit 불일치"))</f>
        <v/>
      </c>
    </row>
    <row r="288" spans="1:12" ht="15" customHeight="1">
      <c r="A288" s="17" t="s">
        <v>1433</v>
      </c>
      <c r="B288" s="17">
        <v>4</v>
      </c>
      <c r="C288" s="17" t="s">
        <v>237</v>
      </c>
      <c r="D288" s="17" t="s">
        <v>1434</v>
      </c>
      <c r="E288" s="18" t="s">
        <v>1435</v>
      </c>
      <c r="F288" s="18" t="s">
        <v>239</v>
      </c>
      <c r="G288" s="17" t="s">
        <v>235</v>
      </c>
      <c r="H288" s="19" t="s">
        <v>95</v>
      </c>
      <c r="I288" s="19"/>
      <c r="J288" s="20" t="str">
        <f t="shared" si="4"/>
        <v/>
      </c>
      <c r="K288" s="20" t="str">
        <f>IF(G288="","",IF(COUNTIF('01_rules'!$A$2:$A$39,G288)=0,"rule 없음",""))</f>
        <v/>
      </c>
      <c r="L288" s="20" t="str">
        <f>IF(G288="","",IF(ISNUMBER(SEARCH(G288,IFERROR(VLOOKUP(C288,'03_units'!$B$2:$F$21,5,FALSE()),""))),"","unit 불일치"))</f>
        <v/>
      </c>
    </row>
    <row r="289" spans="1:12" ht="15" customHeight="1">
      <c r="A289" s="17" t="s">
        <v>1436</v>
      </c>
      <c r="B289" s="17">
        <v>4</v>
      </c>
      <c r="C289" s="17" t="s">
        <v>237</v>
      </c>
      <c r="D289" s="17" t="s">
        <v>1437</v>
      </c>
      <c r="E289" s="18" t="s">
        <v>1438</v>
      </c>
      <c r="F289" s="18" t="s">
        <v>239</v>
      </c>
      <c r="G289" s="17" t="s">
        <v>235</v>
      </c>
      <c r="H289" s="19" t="s">
        <v>95</v>
      </c>
      <c r="I289" s="19"/>
      <c r="J289" s="20" t="str">
        <f t="shared" si="4"/>
        <v/>
      </c>
      <c r="K289" s="20" t="str">
        <f>IF(G289="","",IF(COUNTIF('01_rules'!$A$2:$A$39,G289)=0,"rule 없음",""))</f>
        <v/>
      </c>
      <c r="L289" s="20" t="str">
        <f>IF(G289="","",IF(ISNUMBER(SEARCH(G289,IFERROR(VLOOKUP(C289,'03_units'!$B$2:$F$21,5,FALSE()),""))),"","unit 불일치"))</f>
        <v/>
      </c>
    </row>
    <row r="290" spans="1:12" ht="15" customHeight="1">
      <c r="A290" s="17" t="s">
        <v>1439</v>
      </c>
      <c r="B290" s="17">
        <v>4</v>
      </c>
      <c r="C290" s="17" t="s">
        <v>237</v>
      </c>
      <c r="D290" s="17" t="s">
        <v>1440</v>
      </c>
      <c r="E290" s="18" t="s">
        <v>1441</v>
      </c>
      <c r="F290" s="18" t="s">
        <v>239</v>
      </c>
      <c r="G290" s="17" t="s">
        <v>235</v>
      </c>
      <c r="H290" s="19" t="s">
        <v>95</v>
      </c>
      <c r="I290" s="19"/>
      <c r="J290" s="20" t="str">
        <f t="shared" si="4"/>
        <v/>
      </c>
      <c r="K290" s="20" t="str">
        <f>IF(G290="","",IF(COUNTIF('01_rules'!$A$2:$A$39,G290)=0,"rule 없음",""))</f>
        <v/>
      </c>
      <c r="L290" s="20" t="str">
        <f>IF(G290="","",IF(ISNUMBER(SEARCH(G290,IFERROR(VLOOKUP(C290,'03_units'!$B$2:$F$21,5,FALSE()),""))),"","unit 불일치"))</f>
        <v/>
      </c>
    </row>
    <row r="291" spans="1:12" ht="15" customHeight="1">
      <c r="A291" s="17" t="s">
        <v>1442</v>
      </c>
      <c r="B291" s="17">
        <v>4</v>
      </c>
      <c r="C291" s="17" t="s">
        <v>237</v>
      </c>
      <c r="D291" s="17" t="s">
        <v>1443</v>
      </c>
      <c r="E291" s="18" t="s">
        <v>1444</v>
      </c>
      <c r="F291" s="18" t="s">
        <v>239</v>
      </c>
      <c r="G291" s="17" t="s">
        <v>235</v>
      </c>
      <c r="H291" s="19" t="s">
        <v>95</v>
      </c>
      <c r="I291" s="19"/>
      <c r="J291" s="20" t="str">
        <f t="shared" si="4"/>
        <v/>
      </c>
      <c r="K291" s="20" t="str">
        <f>IF(G291="","",IF(COUNTIF('01_rules'!$A$2:$A$39,G291)=0,"rule 없음",""))</f>
        <v/>
      </c>
      <c r="L291" s="20" t="str">
        <f>IF(G291="","",IF(ISNUMBER(SEARCH(G291,IFERROR(VLOOKUP(C291,'03_units'!$B$2:$F$21,5,FALSE()),""))),"","unit 불일치"))</f>
        <v/>
      </c>
    </row>
    <row r="292" spans="1:12" ht="15" customHeight="1">
      <c r="A292" s="17" t="s">
        <v>1445</v>
      </c>
      <c r="B292" s="17">
        <v>5</v>
      </c>
      <c r="C292" s="17" t="s">
        <v>237</v>
      </c>
      <c r="D292" s="17" t="s">
        <v>1446</v>
      </c>
      <c r="E292" s="18" t="s">
        <v>1447</v>
      </c>
      <c r="F292" s="18" t="s">
        <v>145</v>
      </c>
      <c r="G292" s="17" t="s">
        <v>141</v>
      </c>
      <c r="H292" s="19" t="s">
        <v>95</v>
      </c>
      <c r="I292" s="19"/>
      <c r="J292" s="20" t="str">
        <f t="shared" si="4"/>
        <v/>
      </c>
      <c r="K292" s="20" t="str">
        <f>IF(G292="","",IF(COUNTIF('01_rules'!$A$2:$A$39,G292)=0,"rule 없음",""))</f>
        <v/>
      </c>
      <c r="L292" s="20" t="str">
        <f>IF(G292="","",IF(ISNUMBER(SEARCH(G292,IFERROR(VLOOKUP(C292,'03_units'!$B$2:$F$21,5,FALSE()),""))),"","unit 불일치"))</f>
        <v/>
      </c>
    </row>
    <row r="293" spans="1:12" ht="15" customHeight="1">
      <c r="A293" s="17" t="s">
        <v>1448</v>
      </c>
      <c r="B293" s="17">
        <v>5</v>
      </c>
      <c r="C293" s="17" t="s">
        <v>237</v>
      </c>
      <c r="D293" s="17" t="s">
        <v>1449</v>
      </c>
      <c r="E293" s="18" t="s">
        <v>1450</v>
      </c>
      <c r="F293" s="18" t="s">
        <v>336</v>
      </c>
      <c r="G293" s="17" t="s">
        <v>334</v>
      </c>
      <c r="H293" s="19" t="s">
        <v>95</v>
      </c>
      <c r="I293" s="19"/>
      <c r="J293" s="20" t="str">
        <f t="shared" si="4"/>
        <v/>
      </c>
      <c r="K293" s="20" t="str">
        <f>IF(G293="","",IF(COUNTIF('01_rules'!$A$2:$A$39,G293)=0,"rule 없음",""))</f>
        <v/>
      </c>
      <c r="L293" s="20" t="str">
        <f>IF(G293="","",IF(ISNUMBER(SEARCH(G293,IFERROR(VLOOKUP(C293,'03_units'!$B$2:$F$21,5,FALSE()),""))),"","unit 불일치"))</f>
        <v/>
      </c>
    </row>
    <row r="294" spans="1:12" ht="15" customHeight="1">
      <c r="A294" s="17" t="s">
        <v>1451</v>
      </c>
      <c r="B294" s="17">
        <v>5</v>
      </c>
      <c r="C294" s="17" t="s">
        <v>237</v>
      </c>
      <c r="D294" s="17" t="s">
        <v>1452</v>
      </c>
      <c r="E294" s="18" t="s">
        <v>1453</v>
      </c>
      <c r="F294" s="18" t="s">
        <v>336</v>
      </c>
      <c r="G294" s="17" t="s">
        <v>334</v>
      </c>
      <c r="H294" s="19" t="s">
        <v>95</v>
      </c>
      <c r="I294" s="19"/>
      <c r="J294" s="20" t="str">
        <f t="shared" si="4"/>
        <v/>
      </c>
      <c r="K294" s="20" t="str">
        <f>IF(G294="","",IF(COUNTIF('01_rules'!$A$2:$A$39,G294)=0,"rule 없음",""))</f>
        <v/>
      </c>
      <c r="L294" s="20" t="str">
        <f>IF(G294="","",IF(ISNUMBER(SEARCH(G294,IFERROR(VLOOKUP(C294,'03_units'!$B$2:$F$21,5,FALSE()),""))),"","unit 불일치"))</f>
        <v/>
      </c>
    </row>
    <row r="295" spans="1:12" ht="15" customHeight="1">
      <c r="A295" s="17" t="s">
        <v>1454</v>
      </c>
      <c r="B295" s="17">
        <v>5</v>
      </c>
      <c r="C295" s="17" t="s">
        <v>237</v>
      </c>
      <c r="D295" s="17" t="s">
        <v>1455</v>
      </c>
      <c r="E295" s="18" t="s">
        <v>1456</v>
      </c>
      <c r="F295" s="18" t="s">
        <v>336</v>
      </c>
      <c r="G295" s="17" t="s">
        <v>334</v>
      </c>
      <c r="H295" s="19" t="s">
        <v>95</v>
      </c>
      <c r="I295" s="19"/>
      <c r="J295" s="20" t="str">
        <f t="shared" si="4"/>
        <v/>
      </c>
      <c r="K295" s="20" t="str">
        <f>IF(G295="","",IF(COUNTIF('01_rules'!$A$2:$A$39,G295)=0,"rule 없음",""))</f>
        <v/>
      </c>
      <c r="L295" s="20" t="str">
        <f>IF(G295="","",IF(ISNUMBER(SEARCH(G295,IFERROR(VLOOKUP(C295,'03_units'!$B$2:$F$21,5,FALSE()),""))),"","unit 불일치"))</f>
        <v/>
      </c>
    </row>
    <row r="296" spans="1:12" ht="15" customHeight="1">
      <c r="A296" s="17" t="s">
        <v>1457</v>
      </c>
      <c r="B296" s="17">
        <v>5</v>
      </c>
      <c r="C296" s="17" t="s">
        <v>237</v>
      </c>
      <c r="D296" s="17" t="s">
        <v>1458</v>
      </c>
      <c r="E296" s="18" t="s">
        <v>1459</v>
      </c>
      <c r="F296" s="18" t="s">
        <v>336</v>
      </c>
      <c r="G296" s="17" t="s">
        <v>334</v>
      </c>
      <c r="H296" s="19" t="s">
        <v>95</v>
      </c>
      <c r="I296" s="19"/>
      <c r="J296" s="20" t="str">
        <f t="shared" si="4"/>
        <v/>
      </c>
      <c r="K296" s="20" t="str">
        <f>IF(G296="","",IF(COUNTIF('01_rules'!$A$2:$A$39,G296)=0,"rule 없음",""))</f>
        <v/>
      </c>
      <c r="L296" s="20" t="str">
        <f>IF(G296="","",IF(ISNUMBER(SEARCH(G296,IFERROR(VLOOKUP(C296,'03_units'!$B$2:$F$21,5,FALSE()),""))),"","unit 불일치"))</f>
        <v/>
      </c>
    </row>
    <row r="297" spans="1:12" ht="15" customHeight="1">
      <c r="A297" s="17" t="s">
        <v>1460</v>
      </c>
      <c r="B297" s="17">
        <v>6</v>
      </c>
      <c r="C297" s="17" t="s">
        <v>237</v>
      </c>
      <c r="D297" s="17" t="s">
        <v>1461</v>
      </c>
      <c r="E297" s="18" t="s">
        <v>1462</v>
      </c>
      <c r="F297" s="18" t="s">
        <v>336</v>
      </c>
      <c r="G297" s="17" t="s">
        <v>334</v>
      </c>
      <c r="H297" s="19" t="s">
        <v>95</v>
      </c>
      <c r="I297" s="19"/>
      <c r="J297" s="20" t="str">
        <f t="shared" si="4"/>
        <v/>
      </c>
      <c r="K297" s="20" t="str">
        <f>IF(G297="","",IF(COUNTIF('01_rules'!$A$2:$A$39,G297)=0,"rule 없음",""))</f>
        <v/>
      </c>
      <c r="L297" s="20" t="str">
        <f>IF(G297="","",IF(ISNUMBER(SEARCH(G297,IFERROR(VLOOKUP(C297,'03_units'!$B$2:$F$21,5,FALSE()),""))),"","unit 불일치"))</f>
        <v/>
      </c>
    </row>
    <row r="298" spans="1:12" ht="15" customHeight="1">
      <c r="A298" s="17" t="s">
        <v>1463</v>
      </c>
      <c r="B298" s="17">
        <v>6</v>
      </c>
      <c r="C298" s="17" t="s">
        <v>237</v>
      </c>
      <c r="D298" s="17" t="s">
        <v>1464</v>
      </c>
      <c r="E298" s="18" t="s">
        <v>1465</v>
      </c>
      <c r="F298" s="18" t="s">
        <v>145</v>
      </c>
      <c r="G298" s="17" t="s">
        <v>141</v>
      </c>
      <c r="H298" s="19" t="s">
        <v>95</v>
      </c>
      <c r="I298" s="19"/>
      <c r="J298" s="20" t="str">
        <f t="shared" si="4"/>
        <v/>
      </c>
      <c r="K298" s="20" t="str">
        <f>IF(G298="","",IF(COUNTIF('01_rules'!$A$2:$A$39,G298)=0,"rule 없음",""))</f>
        <v/>
      </c>
      <c r="L298" s="20" t="str">
        <f>IF(G298="","",IF(ISNUMBER(SEARCH(G298,IFERROR(VLOOKUP(C298,'03_units'!$B$2:$F$21,5,FALSE()),""))),"","unit 불일치"))</f>
        <v/>
      </c>
    </row>
    <row r="299" spans="1:12" ht="15" customHeight="1">
      <c r="A299" s="17" t="s">
        <v>1466</v>
      </c>
      <c r="B299" s="17">
        <v>6</v>
      </c>
      <c r="C299" s="17" t="s">
        <v>237</v>
      </c>
      <c r="D299" s="17" t="s">
        <v>1467</v>
      </c>
      <c r="E299" s="18" t="s">
        <v>1468</v>
      </c>
      <c r="F299" s="18" t="s">
        <v>336</v>
      </c>
      <c r="G299" s="17" t="s">
        <v>334</v>
      </c>
      <c r="H299" s="19" t="s">
        <v>95</v>
      </c>
      <c r="I299" s="19"/>
      <c r="J299" s="20" t="str">
        <f t="shared" si="4"/>
        <v/>
      </c>
      <c r="K299" s="20" t="str">
        <f>IF(G299="","",IF(COUNTIF('01_rules'!$A$2:$A$39,G299)=0,"rule 없음",""))</f>
        <v/>
      </c>
      <c r="L299" s="20" t="str">
        <f>IF(G299="","",IF(ISNUMBER(SEARCH(G299,IFERROR(VLOOKUP(C299,'03_units'!$B$2:$F$21,5,FALSE()),""))),"","unit 불일치"))</f>
        <v/>
      </c>
    </row>
    <row r="300" spans="1:12" ht="15" customHeight="1">
      <c r="A300" s="17" t="s">
        <v>1469</v>
      </c>
      <c r="B300" s="17">
        <v>6</v>
      </c>
      <c r="C300" s="17" t="s">
        <v>237</v>
      </c>
      <c r="D300" s="17" t="s">
        <v>1470</v>
      </c>
      <c r="E300" s="18" t="s">
        <v>1471</v>
      </c>
      <c r="F300" s="18" t="s">
        <v>336</v>
      </c>
      <c r="G300" s="17" t="s">
        <v>334</v>
      </c>
      <c r="H300" s="19" t="s">
        <v>95</v>
      </c>
      <c r="I300" s="19"/>
      <c r="J300" s="20" t="str">
        <f t="shared" si="4"/>
        <v/>
      </c>
      <c r="K300" s="20" t="str">
        <f>IF(G300="","",IF(COUNTIF('01_rules'!$A$2:$A$39,G300)=0,"rule 없음",""))</f>
        <v/>
      </c>
      <c r="L300" s="20" t="str">
        <f>IF(G300="","",IF(ISNUMBER(SEARCH(G300,IFERROR(VLOOKUP(C300,'03_units'!$B$2:$F$21,5,FALSE()),""))),"","unit 불일치"))</f>
        <v/>
      </c>
    </row>
    <row r="301" spans="1:12" ht="15" customHeight="1">
      <c r="A301" s="17" t="s">
        <v>1472</v>
      </c>
      <c r="B301" s="17">
        <v>6</v>
      </c>
      <c r="C301" s="17" t="s">
        <v>237</v>
      </c>
      <c r="D301" s="17" t="s">
        <v>1473</v>
      </c>
      <c r="E301" s="18" t="s">
        <v>1474</v>
      </c>
      <c r="F301" s="18" t="s">
        <v>301</v>
      </c>
      <c r="G301" s="17" t="s">
        <v>297</v>
      </c>
      <c r="H301" s="19" t="s">
        <v>95</v>
      </c>
      <c r="I301" s="19"/>
      <c r="J301" s="20" t="str">
        <f t="shared" si="4"/>
        <v/>
      </c>
      <c r="K301" s="20" t="str">
        <f>IF(G301="","",IF(COUNTIF('01_rules'!$A$2:$A$39,G301)=0,"rule 없음",""))</f>
        <v/>
      </c>
      <c r="L301" s="20" t="str">
        <f>IF(G301="","",IF(ISNUMBER(SEARCH(G301,IFERROR(VLOOKUP(C301,'03_units'!$B$2:$F$21,5,FALSE()),""))),"","unit 불일치"))</f>
        <v/>
      </c>
    </row>
    <row r="302" spans="1:12" ht="15" customHeight="1">
      <c r="A302" s="17" t="s">
        <v>1475</v>
      </c>
      <c r="B302" s="17">
        <v>3</v>
      </c>
      <c r="C302" s="17" t="s">
        <v>244</v>
      </c>
      <c r="D302" s="17" t="s">
        <v>1476</v>
      </c>
      <c r="E302" s="18" t="s">
        <v>1477</v>
      </c>
      <c r="F302" s="18" t="s">
        <v>336</v>
      </c>
      <c r="G302" s="17" t="s">
        <v>334</v>
      </c>
      <c r="H302" s="19" t="s">
        <v>95</v>
      </c>
      <c r="I302" s="19"/>
      <c r="J302" s="20" t="str">
        <f t="shared" si="4"/>
        <v/>
      </c>
      <c r="K302" s="20" t="str">
        <f>IF(G302="","",IF(COUNTIF('01_rules'!$A$2:$A$39,G302)=0,"rule 없음",""))</f>
        <v/>
      </c>
      <c r="L302" s="20" t="str">
        <f>IF(G302="","",IF(ISNUMBER(SEARCH(G302,IFERROR(VLOOKUP(C302,'03_units'!$B$2:$F$21,5,FALSE()),""))),"","unit 불일치"))</f>
        <v/>
      </c>
    </row>
    <row r="303" spans="1:12" ht="15" customHeight="1">
      <c r="A303" s="17" t="s">
        <v>1478</v>
      </c>
      <c r="B303" s="17">
        <v>3</v>
      </c>
      <c r="C303" s="17" t="s">
        <v>244</v>
      </c>
      <c r="D303" s="17" t="s">
        <v>1479</v>
      </c>
      <c r="E303" s="18" t="s">
        <v>1480</v>
      </c>
      <c r="F303" s="18" t="s">
        <v>246</v>
      </c>
      <c r="G303" s="17" t="s">
        <v>242</v>
      </c>
      <c r="H303" s="19" t="s">
        <v>95</v>
      </c>
      <c r="I303" s="19"/>
      <c r="J303" s="20" t="str">
        <f t="shared" si="4"/>
        <v/>
      </c>
      <c r="K303" s="20" t="str">
        <f>IF(G303="","",IF(COUNTIF('01_rules'!$A$2:$A$39,G303)=0,"rule 없음",""))</f>
        <v/>
      </c>
      <c r="L303" s="20" t="str">
        <f>IF(G303="","",IF(ISNUMBER(SEARCH(G303,IFERROR(VLOOKUP(C303,'03_units'!$B$2:$F$21,5,FALSE()),""))),"","unit 불일치"))</f>
        <v/>
      </c>
    </row>
    <row r="304" spans="1:12" ht="15" customHeight="1">
      <c r="A304" s="17" t="s">
        <v>1481</v>
      </c>
      <c r="B304" s="17">
        <v>3</v>
      </c>
      <c r="C304" s="17" t="s">
        <v>244</v>
      </c>
      <c r="D304" s="17" t="s">
        <v>1482</v>
      </c>
      <c r="E304" s="18" t="s">
        <v>1483</v>
      </c>
      <c r="F304" s="18" t="s">
        <v>246</v>
      </c>
      <c r="G304" s="17" t="s">
        <v>242</v>
      </c>
      <c r="H304" s="19" t="s">
        <v>95</v>
      </c>
      <c r="I304" s="19"/>
      <c r="J304" s="20" t="str">
        <f t="shared" si="4"/>
        <v/>
      </c>
      <c r="K304" s="20" t="str">
        <f>IF(G304="","",IF(COUNTIF('01_rules'!$A$2:$A$39,G304)=0,"rule 없음",""))</f>
        <v/>
      </c>
      <c r="L304" s="20" t="str">
        <f>IF(G304="","",IF(ISNUMBER(SEARCH(G304,IFERROR(VLOOKUP(C304,'03_units'!$B$2:$F$21,5,FALSE()),""))),"","unit 불일치"))</f>
        <v/>
      </c>
    </row>
    <row r="305" spans="1:12" ht="29.25" customHeight="1">
      <c r="A305" s="17" t="s">
        <v>1484</v>
      </c>
      <c r="B305" s="17">
        <v>3</v>
      </c>
      <c r="C305" s="17" t="s">
        <v>244</v>
      </c>
      <c r="D305" s="17" t="s">
        <v>1485</v>
      </c>
      <c r="E305" s="18" t="s">
        <v>1486</v>
      </c>
      <c r="F305" s="18" t="s">
        <v>246</v>
      </c>
      <c r="G305" s="17" t="s">
        <v>242</v>
      </c>
      <c r="H305" s="19" t="s">
        <v>95</v>
      </c>
      <c r="I305" s="19"/>
      <c r="J305" s="20" t="str">
        <f t="shared" si="4"/>
        <v/>
      </c>
      <c r="K305" s="20" t="str">
        <f>IF(G305="","",IF(COUNTIF('01_rules'!$A$2:$A$39,G305)=0,"rule 없음",""))</f>
        <v/>
      </c>
      <c r="L305" s="20" t="str">
        <f>IF(G305="","",IF(ISNUMBER(SEARCH(G305,IFERROR(VLOOKUP(C305,'03_units'!$B$2:$F$21,5,FALSE()),""))),"","unit 불일치"))</f>
        <v/>
      </c>
    </row>
    <row r="306" spans="1:12" ht="15" customHeight="1">
      <c r="A306" s="17" t="s">
        <v>1487</v>
      </c>
      <c r="B306" s="17">
        <v>3</v>
      </c>
      <c r="C306" s="17" t="s">
        <v>244</v>
      </c>
      <c r="D306" s="17" t="s">
        <v>1488</v>
      </c>
      <c r="E306" s="18" t="s">
        <v>1489</v>
      </c>
      <c r="F306" s="18" t="s">
        <v>246</v>
      </c>
      <c r="G306" s="17" t="s">
        <v>242</v>
      </c>
      <c r="H306" s="19" t="s">
        <v>95</v>
      </c>
      <c r="I306" s="19"/>
      <c r="J306" s="20" t="str">
        <f t="shared" si="4"/>
        <v/>
      </c>
      <c r="K306" s="20" t="str">
        <f>IF(G306="","",IF(COUNTIF('01_rules'!$A$2:$A$39,G306)=0,"rule 없음",""))</f>
        <v/>
      </c>
      <c r="L306" s="20" t="str">
        <f>IF(G306="","",IF(ISNUMBER(SEARCH(G306,IFERROR(VLOOKUP(C306,'03_units'!$B$2:$F$21,5,FALSE()),""))),"","unit 불일치"))</f>
        <v/>
      </c>
    </row>
    <row r="307" spans="1:12" ht="15" customHeight="1">
      <c r="A307" s="17" t="s">
        <v>1490</v>
      </c>
      <c r="B307" s="17">
        <v>4</v>
      </c>
      <c r="C307" s="17" t="s">
        <v>244</v>
      </c>
      <c r="D307" s="17" t="s">
        <v>1491</v>
      </c>
      <c r="E307" s="18" t="s">
        <v>1492</v>
      </c>
      <c r="F307" s="18" t="s">
        <v>246</v>
      </c>
      <c r="G307" s="17" t="s">
        <v>242</v>
      </c>
      <c r="H307" s="19" t="s">
        <v>95</v>
      </c>
      <c r="I307" s="19"/>
      <c r="J307" s="20" t="str">
        <f t="shared" si="4"/>
        <v/>
      </c>
      <c r="K307" s="20" t="str">
        <f>IF(G307="","",IF(COUNTIF('01_rules'!$A$2:$A$39,G307)=0,"rule 없음",""))</f>
        <v/>
      </c>
      <c r="L307" s="20" t="str">
        <f>IF(G307="","",IF(ISNUMBER(SEARCH(G307,IFERROR(VLOOKUP(C307,'03_units'!$B$2:$F$21,5,FALSE()),""))),"","unit 불일치"))</f>
        <v/>
      </c>
    </row>
    <row r="308" spans="1:12" ht="23.25" customHeight="1">
      <c r="A308" s="17" t="s">
        <v>1493</v>
      </c>
      <c r="B308" s="17">
        <v>4</v>
      </c>
      <c r="C308" s="17" t="s">
        <v>244</v>
      </c>
      <c r="D308" s="17" t="s">
        <v>1494</v>
      </c>
      <c r="E308" s="18" t="s">
        <v>1495</v>
      </c>
      <c r="F308" s="18" t="s">
        <v>246</v>
      </c>
      <c r="G308" s="17" t="s">
        <v>242</v>
      </c>
      <c r="H308" s="19" t="s">
        <v>95</v>
      </c>
      <c r="I308" s="19"/>
      <c r="J308" s="20" t="str">
        <f t="shared" si="4"/>
        <v/>
      </c>
      <c r="K308" s="20" t="str">
        <f>IF(G308="","",IF(COUNTIF('01_rules'!$A$2:$A$39,G308)=0,"rule 없음",""))</f>
        <v/>
      </c>
      <c r="L308" s="20" t="str">
        <f>IF(G308="","",IF(ISNUMBER(SEARCH(G308,IFERROR(VLOOKUP(C308,'03_units'!$B$2:$F$21,5,FALSE()),""))),"","unit 불일치"))</f>
        <v/>
      </c>
    </row>
    <row r="309" spans="1:12" ht="15" customHeight="1">
      <c r="A309" s="17" t="s">
        <v>1496</v>
      </c>
      <c r="B309" s="17">
        <v>4</v>
      </c>
      <c r="C309" s="17" t="s">
        <v>244</v>
      </c>
      <c r="D309" s="17" t="s">
        <v>1497</v>
      </c>
      <c r="E309" s="18" t="s">
        <v>1498</v>
      </c>
      <c r="F309" s="18" t="s">
        <v>246</v>
      </c>
      <c r="G309" s="17" t="s">
        <v>242</v>
      </c>
      <c r="H309" s="19" t="s">
        <v>95</v>
      </c>
      <c r="I309" s="19"/>
      <c r="J309" s="20" t="str">
        <f t="shared" si="4"/>
        <v/>
      </c>
      <c r="K309" s="20" t="str">
        <f>IF(G309="","",IF(COUNTIF('01_rules'!$A$2:$A$39,G309)=0,"rule 없음",""))</f>
        <v/>
      </c>
      <c r="L309" s="20" t="str">
        <f>IF(G309="","",IF(ISNUMBER(SEARCH(G309,IFERROR(VLOOKUP(C309,'03_units'!$B$2:$F$21,5,FALSE()),""))),"","unit 불일치"))</f>
        <v/>
      </c>
    </row>
    <row r="310" spans="1:12" ht="15" customHeight="1">
      <c r="A310" s="17" t="s">
        <v>1499</v>
      </c>
      <c r="B310" s="17">
        <v>4</v>
      </c>
      <c r="C310" s="17" t="s">
        <v>244</v>
      </c>
      <c r="D310" s="17" t="s">
        <v>1500</v>
      </c>
      <c r="E310" s="18" t="s">
        <v>1501</v>
      </c>
      <c r="F310" s="18" t="s">
        <v>246</v>
      </c>
      <c r="G310" s="17" t="s">
        <v>242</v>
      </c>
      <c r="H310" s="19" t="s">
        <v>95</v>
      </c>
      <c r="I310" s="19"/>
      <c r="J310" s="20" t="str">
        <f t="shared" si="4"/>
        <v/>
      </c>
      <c r="K310" s="20" t="str">
        <f>IF(G310="","",IF(COUNTIF('01_rules'!$A$2:$A$39,G310)=0,"rule 없음",""))</f>
        <v/>
      </c>
      <c r="L310" s="20" t="str">
        <f>IF(G310="","",IF(ISNUMBER(SEARCH(G310,IFERROR(VLOOKUP(C310,'03_units'!$B$2:$F$21,5,FALSE()),""))),"","unit 불일치"))</f>
        <v/>
      </c>
    </row>
    <row r="311" spans="1:12" ht="15" customHeight="1">
      <c r="A311" s="17" t="s">
        <v>1502</v>
      </c>
      <c r="B311" s="17">
        <v>4</v>
      </c>
      <c r="C311" s="17" t="s">
        <v>244</v>
      </c>
      <c r="D311" s="17" t="s">
        <v>1503</v>
      </c>
      <c r="E311" s="18" t="s">
        <v>1504</v>
      </c>
      <c r="F311" s="18" t="s">
        <v>246</v>
      </c>
      <c r="G311" s="17" t="s">
        <v>242</v>
      </c>
      <c r="H311" s="19" t="s">
        <v>95</v>
      </c>
      <c r="I311" s="19"/>
      <c r="J311" s="20" t="str">
        <f t="shared" si="4"/>
        <v/>
      </c>
      <c r="K311" s="20" t="str">
        <f>IF(G311="","",IF(COUNTIF('01_rules'!$A$2:$A$39,G311)=0,"rule 없음",""))</f>
        <v/>
      </c>
      <c r="L311" s="20" t="str">
        <f>IF(G311="","",IF(ISNUMBER(SEARCH(G311,IFERROR(VLOOKUP(C311,'03_units'!$B$2:$F$21,5,FALSE()),""))),"","unit 불일치"))</f>
        <v/>
      </c>
    </row>
    <row r="312" spans="1:12" ht="23.25" customHeight="1">
      <c r="A312" s="17" t="s">
        <v>1505</v>
      </c>
      <c r="B312" s="17">
        <v>5</v>
      </c>
      <c r="C312" s="17" t="s">
        <v>244</v>
      </c>
      <c r="D312" s="17" t="s">
        <v>1506</v>
      </c>
      <c r="E312" s="18" t="s">
        <v>1507</v>
      </c>
      <c r="F312" s="18" t="s">
        <v>246</v>
      </c>
      <c r="G312" s="17" t="s">
        <v>242</v>
      </c>
      <c r="H312" s="19" t="s">
        <v>95</v>
      </c>
      <c r="I312" s="19"/>
      <c r="J312" s="20" t="str">
        <f t="shared" si="4"/>
        <v/>
      </c>
      <c r="K312" s="20" t="str">
        <f>IF(G312="","",IF(COUNTIF('01_rules'!$A$2:$A$39,G312)=0,"rule 없음",""))</f>
        <v/>
      </c>
      <c r="L312" s="20" t="str">
        <f>IF(G312="","",IF(ISNUMBER(SEARCH(G312,IFERROR(VLOOKUP(C312,'03_units'!$B$2:$F$21,5,FALSE()),""))),"","unit 불일치"))</f>
        <v/>
      </c>
    </row>
    <row r="313" spans="1:12" ht="15" customHeight="1">
      <c r="A313" s="17" t="s">
        <v>1508</v>
      </c>
      <c r="B313" s="17">
        <v>5</v>
      </c>
      <c r="C313" s="17" t="s">
        <v>244</v>
      </c>
      <c r="D313" s="17" t="s">
        <v>1509</v>
      </c>
      <c r="E313" s="18" t="s">
        <v>1510</v>
      </c>
      <c r="F313" s="18" t="s">
        <v>336</v>
      </c>
      <c r="G313" s="17" t="s">
        <v>334</v>
      </c>
      <c r="H313" s="19" t="s">
        <v>95</v>
      </c>
      <c r="I313" s="19"/>
      <c r="J313" s="20" t="str">
        <f t="shared" si="4"/>
        <v/>
      </c>
      <c r="K313" s="20" t="str">
        <f>IF(G313="","",IF(COUNTIF('01_rules'!$A$2:$A$39,G313)=0,"rule 없음",""))</f>
        <v/>
      </c>
      <c r="L313" s="20" t="str">
        <f>IF(G313="","",IF(ISNUMBER(SEARCH(G313,IFERROR(VLOOKUP(C313,'03_units'!$B$2:$F$21,5,FALSE()),""))),"","unit 불일치"))</f>
        <v/>
      </c>
    </row>
    <row r="314" spans="1:12" ht="15" customHeight="1">
      <c r="A314" s="17" t="s">
        <v>1511</v>
      </c>
      <c r="B314" s="17">
        <v>5</v>
      </c>
      <c r="C314" s="17" t="s">
        <v>244</v>
      </c>
      <c r="D314" s="17" t="s">
        <v>1512</v>
      </c>
      <c r="E314" s="18" t="s">
        <v>1513</v>
      </c>
      <c r="F314" s="18" t="s">
        <v>336</v>
      </c>
      <c r="G314" s="17" t="s">
        <v>334</v>
      </c>
      <c r="H314" s="19" t="s">
        <v>95</v>
      </c>
      <c r="I314" s="19"/>
      <c r="J314" s="20" t="str">
        <f t="shared" si="4"/>
        <v/>
      </c>
      <c r="K314" s="20" t="str">
        <f>IF(G314="","",IF(COUNTIF('01_rules'!$A$2:$A$39,G314)=0,"rule 없음",""))</f>
        <v/>
      </c>
      <c r="L314" s="20" t="str">
        <f>IF(G314="","",IF(ISNUMBER(SEARCH(G314,IFERROR(VLOOKUP(C314,'03_units'!$B$2:$F$21,5,FALSE()),""))),"","unit 불일치"))</f>
        <v/>
      </c>
    </row>
    <row r="315" spans="1:12" ht="15" customHeight="1">
      <c r="A315" s="17" t="s">
        <v>1514</v>
      </c>
      <c r="B315" s="17">
        <v>5</v>
      </c>
      <c r="C315" s="17" t="s">
        <v>244</v>
      </c>
      <c r="D315" s="17" t="s">
        <v>1515</v>
      </c>
      <c r="E315" s="18" t="s">
        <v>1516</v>
      </c>
      <c r="F315" s="18" t="s">
        <v>246</v>
      </c>
      <c r="G315" s="17" t="s">
        <v>242</v>
      </c>
      <c r="H315" s="19" t="s">
        <v>95</v>
      </c>
      <c r="I315" s="19"/>
      <c r="J315" s="20" t="str">
        <f t="shared" si="4"/>
        <v/>
      </c>
      <c r="K315" s="20" t="str">
        <f>IF(G315="","",IF(COUNTIF('01_rules'!$A$2:$A$39,G315)=0,"rule 없음",""))</f>
        <v/>
      </c>
      <c r="L315" s="20" t="str">
        <f>IF(G315="","",IF(ISNUMBER(SEARCH(G315,IFERROR(VLOOKUP(C315,'03_units'!$B$2:$F$21,5,FALSE()),""))),"","unit 불일치"))</f>
        <v/>
      </c>
    </row>
    <row r="316" spans="1:12" ht="15" customHeight="1">
      <c r="A316" s="17" t="s">
        <v>1517</v>
      </c>
      <c r="B316" s="17">
        <v>5</v>
      </c>
      <c r="C316" s="17" t="s">
        <v>244</v>
      </c>
      <c r="D316" s="17" t="s">
        <v>1518</v>
      </c>
      <c r="E316" s="18" t="s">
        <v>1519</v>
      </c>
      <c r="F316" s="18" t="s">
        <v>246</v>
      </c>
      <c r="G316" s="17" t="s">
        <v>242</v>
      </c>
      <c r="H316" s="19" t="s">
        <v>95</v>
      </c>
      <c r="I316" s="19"/>
      <c r="J316" s="20" t="str">
        <f t="shared" si="4"/>
        <v/>
      </c>
      <c r="K316" s="20" t="str">
        <f>IF(G316="","",IF(COUNTIF('01_rules'!$A$2:$A$39,G316)=0,"rule 없음",""))</f>
        <v/>
      </c>
      <c r="L316" s="20" t="str">
        <f>IF(G316="","",IF(ISNUMBER(SEARCH(G316,IFERROR(VLOOKUP(C316,'03_units'!$B$2:$F$21,5,FALSE()),""))),"","unit 불일치"))</f>
        <v/>
      </c>
    </row>
    <row r="317" spans="1:12" ht="15" customHeight="1">
      <c r="A317" s="17" t="s">
        <v>1520</v>
      </c>
      <c r="B317" s="17">
        <v>6</v>
      </c>
      <c r="C317" s="17" t="s">
        <v>244</v>
      </c>
      <c r="D317" s="17" t="s">
        <v>1521</v>
      </c>
      <c r="E317" s="18" t="s">
        <v>1522</v>
      </c>
      <c r="F317" s="18" t="s">
        <v>336</v>
      </c>
      <c r="G317" s="17" t="s">
        <v>334</v>
      </c>
      <c r="H317" s="19" t="s">
        <v>95</v>
      </c>
      <c r="I317" s="19"/>
      <c r="J317" s="20" t="str">
        <f t="shared" si="4"/>
        <v/>
      </c>
      <c r="K317" s="20" t="str">
        <f>IF(G317="","",IF(COUNTIF('01_rules'!$A$2:$A$39,G317)=0,"rule 없음",""))</f>
        <v/>
      </c>
      <c r="L317" s="20" t="str">
        <f>IF(G317="","",IF(ISNUMBER(SEARCH(G317,IFERROR(VLOOKUP(C317,'03_units'!$B$2:$F$21,5,FALSE()),""))),"","unit 불일치"))</f>
        <v/>
      </c>
    </row>
    <row r="318" spans="1:12" ht="15" customHeight="1">
      <c r="A318" s="17" t="s">
        <v>1523</v>
      </c>
      <c r="B318" s="17">
        <v>6</v>
      </c>
      <c r="C318" s="17" t="s">
        <v>244</v>
      </c>
      <c r="D318" s="17" t="s">
        <v>1524</v>
      </c>
      <c r="E318" s="18" t="s">
        <v>1525</v>
      </c>
      <c r="F318" s="18" t="s">
        <v>336</v>
      </c>
      <c r="G318" s="17" t="s">
        <v>334</v>
      </c>
      <c r="H318" s="19" t="s">
        <v>95</v>
      </c>
      <c r="I318" s="19"/>
      <c r="J318" s="20" t="str">
        <f t="shared" si="4"/>
        <v/>
      </c>
      <c r="K318" s="20" t="str">
        <f>IF(G318="","",IF(COUNTIF('01_rules'!$A$2:$A$39,G318)=0,"rule 없음",""))</f>
        <v/>
      </c>
      <c r="L318" s="20" t="str">
        <f>IF(G318="","",IF(ISNUMBER(SEARCH(G318,IFERROR(VLOOKUP(C318,'03_units'!$B$2:$F$21,5,FALSE()),""))),"","unit 불일치"))</f>
        <v/>
      </c>
    </row>
    <row r="319" spans="1:12" ht="15" customHeight="1">
      <c r="A319" s="17" t="s">
        <v>1526</v>
      </c>
      <c r="B319" s="17">
        <v>6</v>
      </c>
      <c r="C319" s="17" t="s">
        <v>244</v>
      </c>
      <c r="D319" s="17" t="s">
        <v>1527</v>
      </c>
      <c r="E319" s="18" t="s">
        <v>1528</v>
      </c>
      <c r="F319" s="18" t="s">
        <v>336</v>
      </c>
      <c r="G319" s="17" t="s">
        <v>334</v>
      </c>
      <c r="H319" s="19" t="s">
        <v>95</v>
      </c>
      <c r="I319" s="19"/>
      <c r="J319" s="20" t="str">
        <f t="shared" si="4"/>
        <v/>
      </c>
      <c r="K319" s="20" t="str">
        <f>IF(G319="","",IF(COUNTIF('01_rules'!$A$2:$A$39,G319)=0,"rule 없음",""))</f>
        <v/>
      </c>
      <c r="L319" s="20" t="str">
        <f>IF(G319="","",IF(ISNUMBER(SEARCH(G319,IFERROR(VLOOKUP(C319,'03_units'!$B$2:$F$21,5,FALSE()),""))),"","unit 불일치"))</f>
        <v/>
      </c>
    </row>
    <row r="320" spans="1:12" ht="15" customHeight="1">
      <c r="A320" s="17" t="s">
        <v>1529</v>
      </c>
      <c r="B320" s="17">
        <v>6</v>
      </c>
      <c r="C320" s="17" t="s">
        <v>244</v>
      </c>
      <c r="D320" s="17" t="s">
        <v>1530</v>
      </c>
      <c r="E320" s="18" t="s">
        <v>1531</v>
      </c>
      <c r="F320" s="18" t="s">
        <v>91</v>
      </c>
      <c r="G320" s="17" t="s">
        <v>87</v>
      </c>
      <c r="H320" s="19" t="s">
        <v>95</v>
      </c>
      <c r="I320" s="19"/>
      <c r="J320" s="20" t="str">
        <f t="shared" si="4"/>
        <v/>
      </c>
      <c r="K320" s="20" t="str">
        <f>IF(G320="","",IF(COUNTIF('01_rules'!$A$2:$A$39,G320)=0,"rule 없음",""))</f>
        <v/>
      </c>
      <c r="L320" s="20" t="str">
        <f>IF(G320="","",IF(ISNUMBER(SEARCH(G320,IFERROR(VLOOKUP(C320,'03_units'!$B$2:$F$21,5,FALSE()),""))),"","unit 불일치"))</f>
        <v/>
      </c>
    </row>
    <row r="321" spans="1:12" ht="15" customHeight="1">
      <c r="A321" s="17" t="s">
        <v>1532</v>
      </c>
      <c r="B321" s="17">
        <v>6</v>
      </c>
      <c r="C321" s="17" t="s">
        <v>244</v>
      </c>
      <c r="D321" s="17" t="s">
        <v>1533</v>
      </c>
      <c r="E321" s="18" t="s">
        <v>1534</v>
      </c>
      <c r="F321" s="18" t="s">
        <v>336</v>
      </c>
      <c r="G321" s="17" t="s">
        <v>334</v>
      </c>
      <c r="H321" s="19" t="s">
        <v>95</v>
      </c>
      <c r="I321" s="19"/>
      <c r="J321" s="20" t="str">
        <f t="shared" si="4"/>
        <v/>
      </c>
      <c r="K321" s="20" t="str">
        <f>IF(G321="","",IF(COUNTIF('01_rules'!$A$2:$A$39,G321)=0,"rule 없음",""))</f>
        <v/>
      </c>
      <c r="L321" s="20" t="str">
        <f>IF(G321="","",IF(ISNUMBER(SEARCH(G321,IFERROR(VLOOKUP(C321,'03_units'!$B$2:$F$21,5,FALSE()),""))),"","unit 불일치"))</f>
        <v/>
      </c>
    </row>
    <row r="322" spans="1:12" ht="15" customHeight="1">
      <c r="A322" s="17" t="s">
        <v>1535</v>
      </c>
      <c r="B322" s="17">
        <v>3</v>
      </c>
      <c r="C322" s="17" t="s">
        <v>251</v>
      </c>
      <c r="D322" s="17" t="s">
        <v>1536</v>
      </c>
      <c r="E322" s="18" t="s">
        <v>1537</v>
      </c>
      <c r="F322" s="18" t="s">
        <v>259</v>
      </c>
      <c r="G322" s="17" t="s">
        <v>256</v>
      </c>
      <c r="H322" s="19" t="s">
        <v>95</v>
      </c>
      <c r="I322" s="19"/>
      <c r="J322" s="20" t="str">
        <f t="shared" ref="J322:J385" si="5">IF(A322="","",IF(COUNTIF($A$2:$A$401,A322)&gt;1,"중복",""))</f>
        <v/>
      </c>
      <c r="K322" s="20" t="str">
        <f>IF(G322="","",IF(COUNTIF('01_rules'!$A$2:$A$39,G322)=0,"rule 없음",""))</f>
        <v/>
      </c>
      <c r="L322" s="20" t="str">
        <f>IF(G322="","",IF(ISNUMBER(SEARCH(G322,IFERROR(VLOOKUP(C322,'03_units'!$B$2:$F$21,5,FALSE()),""))),"","unit 불일치"))</f>
        <v/>
      </c>
    </row>
    <row r="323" spans="1:12" ht="15" customHeight="1">
      <c r="A323" s="17" t="s">
        <v>1538</v>
      </c>
      <c r="B323" s="17">
        <v>3</v>
      </c>
      <c r="C323" s="17" t="s">
        <v>251</v>
      </c>
      <c r="D323" s="17" t="s">
        <v>1539</v>
      </c>
      <c r="E323" s="18" t="s">
        <v>1540</v>
      </c>
      <c r="F323" s="18" t="s">
        <v>259</v>
      </c>
      <c r="G323" s="17" t="s">
        <v>256</v>
      </c>
      <c r="H323" s="19" t="s">
        <v>95</v>
      </c>
      <c r="I323" s="19"/>
      <c r="J323" s="20" t="str">
        <f t="shared" si="5"/>
        <v/>
      </c>
      <c r="K323" s="20" t="str">
        <f>IF(G323="","",IF(COUNTIF('01_rules'!$A$2:$A$39,G323)=0,"rule 없음",""))</f>
        <v/>
      </c>
      <c r="L323" s="20" t="str">
        <f>IF(G323="","",IF(ISNUMBER(SEARCH(G323,IFERROR(VLOOKUP(C323,'03_units'!$B$2:$F$21,5,FALSE()),""))),"","unit 불일치"))</f>
        <v/>
      </c>
    </row>
    <row r="324" spans="1:12" ht="15" customHeight="1">
      <c r="A324" s="17" t="s">
        <v>1541</v>
      </c>
      <c r="B324" s="17">
        <v>3</v>
      </c>
      <c r="C324" s="17" t="s">
        <v>251</v>
      </c>
      <c r="D324" s="17" t="s">
        <v>1542</v>
      </c>
      <c r="E324" s="18" t="s">
        <v>1543</v>
      </c>
      <c r="F324" s="18" t="s">
        <v>259</v>
      </c>
      <c r="G324" s="17" t="s">
        <v>256</v>
      </c>
      <c r="H324" s="19" t="s">
        <v>95</v>
      </c>
      <c r="I324" s="19"/>
      <c r="J324" s="20" t="str">
        <f t="shared" si="5"/>
        <v/>
      </c>
      <c r="K324" s="20" t="str">
        <f>IF(G324="","",IF(COUNTIF('01_rules'!$A$2:$A$39,G324)=0,"rule 없음",""))</f>
        <v/>
      </c>
      <c r="L324" s="20" t="str">
        <f>IF(G324="","",IF(ISNUMBER(SEARCH(G324,IFERROR(VLOOKUP(C324,'03_units'!$B$2:$F$21,5,FALSE()),""))),"","unit 불일치"))</f>
        <v/>
      </c>
    </row>
    <row r="325" spans="1:12" ht="15" customHeight="1">
      <c r="A325" s="17" t="s">
        <v>1544</v>
      </c>
      <c r="B325" s="17">
        <v>3</v>
      </c>
      <c r="C325" s="17" t="s">
        <v>251</v>
      </c>
      <c r="D325" s="17" t="s">
        <v>1545</v>
      </c>
      <c r="E325" s="18" t="s">
        <v>1546</v>
      </c>
      <c r="F325" s="18" t="s">
        <v>259</v>
      </c>
      <c r="G325" s="17" t="s">
        <v>256</v>
      </c>
      <c r="H325" s="19" t="s">
        <v>95</v>
      </c>
      <c r="I325" s="19"/>
      <c r="J325" s="20" t="str">
        <f t="shared" si="5"/>
        <v/>
      </c>
      <c r="K325" s="20" t="str">
        <f>IF(G325="","",IF(COUNTIF('01_rules'!$A$2:$A$39,G325)=0,"rule 없음",""))</f>
        <v/>
      </c>
      <c r="L325" s="20" t="str">
        <f>IF(G325="","",IF(ISNUMBER(SEARCH(G325,IFERROR(VLOOKUP(C325,'03_units'!$B$2:$F$21,5,FALSE()),""))),"","unit 불일치"))</f>
        <v/>
      </c>
    </row>
    <row r="326" spans="1:12" ht="15" customHeight="1">
      <c r="A326" s="17" t="s">
        <v>1547</v>
      </c>
      <c r="B326" s="17">
        <v>3</v>
      </c>
      <c r="C326" s="17" t="s">
        <v>251</v>
      </c>
      <c r="D326" s="17" t="s">
        <v>1548</v>
      </c>
      <c r="E326" s="18" t="s">
        <v>1549</v>
      </c>
      <c r="F326" s="18" t="s">
        <v>259</v>
      </c>
      <c r="G326" s="17" t="s">
        <v>256</v>
      </c>
      <c r="H326" s="19" t="s">
        <v>95</v>
      </c>
      <c r="I326" s="19"/>
      <c r="J326" s="20" t="str">
        <f t="shared" si="5"/>
        <v/>
      </c>
      <c r="K326" s="20" t="str">
        <f>IF(G326="","",IF(COUNTIF('01_rules'!$A$2:$A$39,G326)=0,"rule 없음",""))</f>
        <v/>
      </c>
      <c r="L326" s="20" t="str">
        <f>IF(G326="","",IF(ISNUMBER(SEARCH(G326,IFERROR(VLOOKUP(C326,'03_units'!$B$2:$F$21,5,FALSE()),""))),"","unit 불일치"))</f>
        <v/>
      </c>
    </row>
    <row r="327" spans="1:12" ht="15" customHeight="1">
      <c r="A327" s="17" t="s">
        <v>1550</v>
      </c>
      <c r="B327" s="17">
        <v>4</v>
      </c>
      <c r="C327" s="17" t="s">
        <v>251</v>
      </c>
      <c r="D327" s="17" t="s">
        <v>1551</v>
      </c>
      <c r="E327" s="18" t="s">
        <v>1552</v>
      </c>
      <c r="F327" s="18" t="s">
        <v>259</v>
      </c>
      <c r="G327" s="17" t="s">
        <v>256</v>
      </c>
      <c r="H327" s="19" t="s">
        <v>95</v>
      </c>
      <c r="I327" s="19"/>
      <c r="J327" s="20" t="str">
        <f t="shared" si="5"/>
        <v/>
      </c>
      <c r="K327" s="20" t="str">
        <f>IF(G327="","",IF(COUNTIF('01_rules'!$A$2:$A$39,G327)=0,"rule 없음",""))</f>
        <v/>
      </c>
      <c r="L327" s="20" t="str">
        <f>IF(G327="","",IF(ISNUMBER(SEARCH(G327,IFERROR(VLOOKUP(C327,'03_units'!$B$2:$F$21,5,FALSE()),""))),"","unit 불일치"))</f>
        <v/>
      </c>
    </row>
    <row r="328" spans="1:12" ht="15" customHeight="1">
      <c r="A328" s="17" t="s">
        <v>1553</v>
      </c>
      <c r="B328" s="17">
        <v>4</v>
      </c>
      <c r="C328" s="17" t="s">
        <v>251</v>
      </c>
      <c r="D328" s="17" t="s">
        <v>1554</v>
      </c>
      <c r="E328" s="18" t="s">
        <v>1555</v>
      </c>
      <c r="F328" s="18" t="s">
        <v>259</v>
      </c>
      <c r="G328" s="17" t="s">
        <v>256</v>
      </c>
      <c r="H328" s="19" t="s">
        <v>95</v>
      </c>
      <c r="I328" s="19"/>
      <c r="J328" s="20" t="str">
        <f t="shared" si="5"/>
        <v/>
      </c>
      <c r="K328" s="20" t="str">
        <f>IF(G328="","",IF(COUNTIF('01_rules'!$A$2:$A$39,G328)=0,"rule 없음",""))</f>
        <v/>
      </c>
      <c r="L328" s="20" t="str">
        <f>IF(G328="","",IF(ISNUMBER(SEARCH(G328,IFERROR(VLOOKUP(C328,'03_units'!$B$2:$F$21,5,FALSE()),""))),"","unit 불일치"))</f>
        <v/>
      </c>
    </row>
    <row r="329" spans="1:12" ht="15" customHeight="1">
      <c r="A329" s="17" t="s">
        <v>1556</v>
      </c>
      <c r="B329" s="17">
        <v>4</v>
      </c>
      <c r="C329" s="17" t="s">
        <v>251</v>
      </c>
      <c r="D329" s="17" t="s">
        <v>1557</v>
      </c>
      <c r="E329" s="18" t="s">
        <v>1558</v>
      </c>
      <c r="F329" s="18" t="s">
        <v>259</v>
      </c>
      <c r="G329" s="17" t="s">
        <v>256</v>
      </c>
      <c r="H329" s="19" t="s">
        <v>95</v>
      </c>
      <c r="I329" s="19"/>
      <c r="J329" s="20" t="str">
        <f t="shared" si="5"/>
        <v/>
      </c>
      <c r="K329" s="20" t="str">
        <f>IF(G329="","",IF(COUNTIF('01_rules'!$A$2:$A$39,G329)=0,"rule 없음",""))</f>
        <v/>
      </c>
      <c r="L329" s="20" t="str">
        <f>IF(G329="","",IF(ISNUMBER(SEARCH(G329,IFERROR(VLOOKUP(C329,'03_units'!$B$2:$F$21,5,FALSE()),""))),"","unit 불일치"))</f>
        <v/>
      </c>
    </row>
    <row r="330" spans="1:12" ht="15" customHeight="1">
      <c r="A330" s="17" t="s">
        <v>1559</v>
      </c>
      <c r="B330" s="17">
        <v>4</v>
      </c>
      <c r="C330" s="17" t="s">
        <v>251</v>
      </c>
      <c r="D330" s="17" t="s">
        <v>1560</v>
      </c>
      <c r="E330" s="18" t="s">
        <v>1561</v>
      </c>
      <c r="F330" s="18" t="s">
        <v>259</v>
      </c>
      <c r="G330" s="17" t="s">
        <v>256</v>
      </c>
      <c r="H330" s="19" t="s">
        <v>95</v>
      </c>
      <c r="I330" s="19"/>
      <c r="J330" s="20" t="str">
        <f t="shared" si="5"/>
        <v/>
      </c>
      <c r="K330" s="20" t="str">
        <f>IF(G330="","",IF(COUNTIF('01_rules'!$A$2:$A$39,G330)=0,"rule 없음",""))</f>
        <v/>
      </c>
      <c r="L330" s="20" t="str">
        <f>IF(G330="","",IF(ISNUMBER(SEARCH(G330,IFERROR(VLOOKUP(C330,'03_units'!$B$2:$F$21,5,FALSE()),""))),"","unit 불일치"))</f>
        <v/>
      </c>
    </row>
    <row r="331" spans="1:12" ht="15" customHeight="1">
      <c r="A331" s="17" t="s">
        <v>1562</v>
      </c>
      <c r="B331" s="17">
        <v>4</v>
      </c>
      <c r="C331" s="17" t="s">
        <v>251</v>
      </c>
      <c r="D331" s="17" t="s">
        <v>1563</v>
      </c>
      <c r="E331" s="18" t="s">
        <v>1564</v>
      </c>
      <c r="F331" s="18" t="s">
        <v>259</v>
      </c>
      <c r="G331" s="17" t="s">
        <v>256</v>
      </c>
      <c r="H331" s="19" t="s">
        <v>95</v>
      </c>
      <c r="I331" s="19"/>
      <c r="J331" s="20" t="str">
        <f t="shared" si="5"/>
        <v/>
      </c>
      <c r="K331" s="20" t="str">
        <f>IF(G331="","",IF(COUNTIF('01_rules'!$A$2:$A$39,G331)=0,"rule 없음",""))</f>
        <v/>
      </c>
      <c r="L331" s="20" t="str">
        <f>IF(G331="","",IF(ISNUMBER(SEARCH(G331,IFERROR(VLOOKUP(C331,'03_units'!$B$2:$F$21,5,FALSE()),""))),"","unit 불일치"))</f>
        <v/>
      </c>
    </row>
    <row r="332" spans="1:12" ht="15" customHeight="1">
      <c r="A332" s="17" t="s">
        <v>1565</v>
      </c>
      <c r="B332" s="17">
        <v>5</v>
      </c>
      <c r="C332" s="17" t="s">
        <v>251</v>
      </c>
      <c r="D332" s="17" t="s">
        <v>1566</v>
      </c>
      <c r="E332" s="18" t="s">
        <v>1567</v>
      </c>
      <c r="F332" s="18" t="s">
        <v>259</v>
      </c>
      <c r="G332" s="17" t="s">
        <v>256</v>
      </c>
      <c r="H332" s="19" t="s">
        <v>95</v>
      </c>
      <c r="I332" s="19"/>
      <c r="J332" s="20" t="str">
        <f t="shared" si="5"/>
        <v/>
      </c>
      <c r="K332" s="20" t="str">
        <f>IF(G332="","",IF(COUNTIF('01_rules'!$A$2:$A$39,G332)=0,"rule 없음",""))</f>
        <v/>
      </c>
      <c r="L332" s="20" t="str">
        <f>IF(G332="","",IF(ISNUMBER(SEARCH(G332,IFERROR(VLOOKUP(C332,'03_units'!$B$2:$F$21,5,FALSE()),""))),"","unit 불일치"))</f>
        <v/>
      </c>
    </row>
    <row r="333" spans="1:12" ht="15" customHeight="1">
      <c r="A333" s="17" t="s">
        <v>1568</v>
      </c>
      <c r="B333" s="17">
        <v>5</v>
      </c>
      <c r="C333" s="17" t="s">
        <v>251</v>
      </c>
      <c r="D333" s="17" t="s">
        <v>1569</v>
      </c>
      <c r="E333" s="18" t="s">
        <v>1570</v>
      </c>
      <c r="F333" s="18" t="s">
        <v>259</v>
      </c>
      <c r="G333" s="17" t="s">
        <v>256</v>
      </c>
      <c r="H333" s="19" t="s">
        <v>95</v>
      </c>
      <c r="I333" s="19"/>
      <c r="J333" s="20" t="str">
        <f t="shared" si="5"/>
        <v/>
      </c>
      <c r="K333" s="20" t="str">
        <f>IF(G333="","",IF(COUNTIF('01_rules'!$A$2:$A$39,G333)=0,"rule 없음",""))</f>
        <v/>
      </c>
      <c r="L333" s="20" t="str">
        <f>IF(G333="","",IF(ISNUMBER(SEARCH(G333,IFERROR(VLOOKUP(C333,'03_units'!$B$2:$F$21,5,FALSE()),""))),"","unit 불일치"))</f>
        <v/>
      </c>
    </row>
    <row r="334" spans="1:12" ht="15" customHeight="1">
      <c r="A334" s="17" t="s">
        <v>1571</v>
      </c>
      <c r="B334" s="17">
        <v>5</v>
      </c>
      <c r="C334" s="17" t="s">
        <v>251</v>
      </c>
      <c r="D334" s="17" t="s">
        <v>1572</v>
      </c>
      <c r="E334" s="18" t="s">
        <v>1573</v>
      </c>
      <c r="F334" s="18" t="s">
        <v>259</v>
      </c>
      <c r="G334" s="17" t="s">
        <v>256</v>
      </c>
      <c r="H334" s="19" t="s">
        <v>95</v>
      </c>
      <c r="I334" s="19"/>
      <c r="J334" s="20" t="str">
        <f t="shared" si="5"/>
        <v/>
      </c>
      <c r="K334" s="20" t="str">
        <f>IF(G334="","",IF(COUNTIF('01_rules'!$A$2:$A$39,G334)=0,"rule 없음",""))</f>
        <v/>
      </c>
      <c r="L334" s="20" t="str">
        <f>IF(G334="","",IF(ISNUMBER(SEARCH(G334,IFERROR(VLOOKUP(C334,'03_units'!$B$2:$F$21,5,FALSE()),""))),"","unit 불일치"))</f>
        <v/>
      </c>
    </row>
    <row r="335" spans="1:12" ht="15" customHeight="1">
      <c r="A335" s="17" t="s">
        <v>1574</v>
      </c>
      <c r="B335" s="17">
        <v>5</v>
      </c>
      <c r="C335" s="17" t="s">
        <v>251</v>
      </c>
      <c r="D335" s="17" t="s">
        <v>1575</v>
      </c>
      <c r="E335" s="18" t="s">
        <v>1576</v>
      </c>
      <c r="F335" s="18" t="s">
        <v>259</v>
      </c>
      <c r="G335" s="17" t="s">
        <v>256</v>
      </c>
      <c r="H335" s="19" t="s">
        <v>95</v>
      </c>
      <c r="I335" s="19"/>
      <c r="J335" s="20" t="str">
        <f t="shared" si="5"/>
        <v/>
      </c>
      <c r="K335" s="20" t="str">
        <f>IF(G335="","",IF(COUNTIF('01_rules'!$A$2:$A$39,G335)=0,"rule 없음",""))</f>
        <v/>
      </c>
      <c r="L335" s="20" t="str">
        <f>IF(G335="","",IF(ISNUMBER(SEARCH(G335,IFERROR(VLOOKUP(C335,'03_units'!$B$2:$F$21,5,FALSE()),""))),"","unit 불일치"))</f>
        <v/>
      </c>
    </row>
    <row r="336" spans="1:12" ht="15" customHeight="1">
      <c r="A336" s="17" t="s">
        <v>1577</v>
      </c>
      <c r="B336" s="17">
        <v>5</v>
      </c>
      <c r="C336" s="17" t="s">
        <v>251</v>
      </c>
      <c r="D336" s="17" t="s">
        <v>1578</v>
      </c>
      <c r="E336" s="18" t="s">
        <v>1579</v>
      </c>
      <c r="F336" s="18" t="s">
        <v>259</v>
      </c>
      <c r="G336" s="17" t="s">
        <v>256</v>
      </c>
      <c r="H336" s="19" t="s">
        <v>95</v>
      </c>
      <c r="I336" s="19"/>
      <c r="J336" s="20" t="str">
        <f t="shared" si="5"/>
        <v/>
      </c>
      <c r="K336" s="20" t="str">
        <f>IF(G336="","",IF(COUNTIF('01_rules'!$A$2:$A$39,G336)=0,"rule 없음",""))</f>
        <v/>
      </c>
      <c r="L336" s="20" t="str">
        <f>IF(G336="","",IF(ISNUMBER(SEARCH(G336,IFERROR(VLOOKUP(C336,'03_units'!$B$2:$F$21,5,FALSE()),""))),"","unit 불일치"))</f>
        <v/>
      </c>
    </row>
    <row r="337" spans="1:12" ht="15" customHeight="1">
      <c r="A337" s="17" t="s">
        <v>1580</v>
      </c>
      <c r="B337" s="17">
        <v>6</v>
      </c>
      <c r="C337" s="17" t="s">
        <v>251</v>
      </c>
      <c r="D337" s="17" t="s">
        <v>1581</v>
      </c>
      <c r="E337" s="18" t="s">
        <v>1582</v>
      </c>
      <c r="F337" s="18" t="s">
        <v>336</v>
      </c>
      <c r="G337" s="17" t="s">
        <v>334</v>
      </c>
      <c r="H337" s="19" t="s">
        <v>95</v>
      </c>
      <c r="I337" s="19"/>
      <c r="J337" s="20" t="str">
        <f t="shared" si="5"/>
        <v/>
      </c>
      <c r="K337" s="20" t="str">
        <f>IF(G337="","",IF(COUNTIF('01_rules'!$A$2:$A$39,G337)=0,"rule 없음",""))</f>
        <v/>
      </c>
      <c r="L337" s="20" t="str">
        <f>IF(G337="","",IF(ISNUMBER(SEARCH(G337,IFERROR(VLOOKUP(C337,'03_units'!$B$2:$F$21,5,FALSE()),""))),"","unit 불일치"))</f>
        <v/>
      </c>
    </row>
    <row r="338" spans="1:12" ht="15" customHeight="1">
      <c r="A338" s="17" t="s">
        <v>1583</v>
      </c>
      <c r="B338" s="17">
        <v>6</v>
      </c>
      <c r="C338" s="17" t="s">
        <v>251</v>
      </c>
      <c r="D338" s="17" t="s">
        <v>1584</v>
      </c>
      <c r="E338" s="18" t="s">
        <v>1585</v>
      </c>
      <c r="F338" s="18" t="s">
        <v>336</v>
      </c>
      <c r="G338" s="17" t="s">
        <v>334</v>
      </c>
      <c r="H338" s="19" t="s">
        <v>95</v>
      </c>
      <c r="I338" s="19"/>
      <c r="J338" s="20" t="str">
        <f t="shared" si="5"/>
        <v/>
      </c>
      <c r="K338" s="20" t="str">
        <f>IF(G338="","",IF(COUNTIF('01_rules'!$A$2:$A$39,G338)=0,"rule 없음",""))</f>
        <v/>
      </c>
      <c r="L338" s="20" t="str">
        <f>IF(G338="","",IF(ISNUMBER(SEARCH(G338,IFERROR(VLOOKUP(C338,'03_units'!$B$2:$F$21,5,FALSE()),""))),"","unit 불일치"))</f>
        <v/>
      </c>
    </row>
    <row r="339" spans="1:12" ht="15" customHeight="1">
      <c r="A339" s="17" t="s">
        <v>1586</v>
      </c>
      <c r="B339" s="17">
        <v>6</v>
      </c>
      <c r="C339" s="17" t="s">
        <v>251</v>
      </c>
      <c r="D339" s="17" t="s">
        <v>1587</v>
      </c>
      <c r="E339" s="18" t="s">
        <v>1582</v>
      </c>
      <c r="F339" s="18" t="s">
        <v>313</v>
      </c>
      <c r="G339" s="17" t="s">
        <v>310</v>
      </c>
      <c r="H339" s="19" t="s">
        <v>95</v>
      </c>
      <c r="I339" s="19"/>
      <c r="J339" s="20" t="str">
        <f t="shared" si="5"/>
        <v/>
      </c>
      <c r="K339" s="20" t="str">
        <f>IF(G339="","",IF(COUNTIF('01_rules'!$A$2:$A$39,G339)=0,"rule 없음",""))</f>
        <v/>
      </c>
      <c r="L339" s="20" t="str">
        <f>IF(G339="","",IF(ISNUMBER(SEARCH(G339,IFERROR(VLOOKUP(C339,'03_units'!$B$2:$F$21,5,FALSE()),""))),"","unit 불일치"))</f>
        <v/>
      </c>
    </row>
    <row r="340" spans="1:12" ht="15" customHeight="1">
      <c r="A340" s="17" t="s">
        <v>1588</v>
      </c>
      <c r="B340" s="17">
        <v>6</v>
      </c>
      <c r="C340" s="17" t="s">
        <v>251</v>
      </c>
      <c r="D340" s="17" t="s">
        <v>1589</v>
      </c>
      <c r="E340" s="18" t="s">
        <v>1590</v>
      </c>
      <c r="F340" s="18" t="s">
        <v>313</v>
      </c>
      <c r="G340" s="17" t="s">
        <v>310</v>
      </c>
      <c r="H340" s="19" t="s">
        <v>95</v>
      </c>
      <c r="I340" s="19"/>
      <c r="J340" s="20" t="str">
        <f t="shared" si="5"/>
        <v/>
      </c>
      <c r="K340" s="20" t="str">
        <f>IF(G340="","",IF(COUNTIF('01_rules'!$A$2:$A$39,G340)=0,"rule 없음",""))</f>
        <v/>
      </c>
      <c r="L340" s="20" t="str">
        <f>IF(G340="","",IF(ISNUMBER(SEARCH(G340,IFERROR(VLOOKUP(C340,'03_units'!$B$2:$F$21,5,FALSE()),""))),"","unit 불일치"))</f>
        <v/>
      </c>
    </row>
    <row r="341" spans="1:12" ht="15" customHeight="1">
      <c r="A341" s="17" t="s">
        <v>1591</v>
      </c>
      <c r="B341" s="17">
        <v>6</v>
      </c>
      <c r="C341" s="17" t="s">
        <v>251</v>
      </c>
      <c r="D341" s="17" t="s">
        <v>1592</v>
      </c>
      <c r="E341" s="18" t="s">
        <v>1593</v>
      </c>
      <c r="F341" s="18" t="s">
        <v>253</v>
      </c>
      <c r="G341" s="17" t="s">
        <v>249</v>
      </c>
      <c r="H341" s="19" t="s">
        <v>95</v>
      </c>
      <c r="I341" s="19"/>
      <c r="J341" s="20" t="str">
        <f t="shared" si="5"/>
        <v/>
      </c>
      <c r="K341" s="20" t="str">
        <f>IF(G341="","",IF(COUNTIF('01_rules'!$A$2:$A$39,G341)=0,"rule 없음",""))</f>
        <v/>
      </c>
      <c r="L341" s="20" t="str">
        <f>IF(G341="","",IF(ISNUMBER(SEARCH(G341,IFERROR(VLOOKUP(C341,'03_units'!$B$2:$F$21,5,FALSE()),""))),"","unit 불일치"))</f>
        <v/>
      </c>
    </row>
    <row r="342" spans="1:12" ht="15" customHeight="1">
      <c r="A342" s="17" t="s">
        <v>1594</v>
      </c>
      <c r="B342" s="17">
        <v>3</v>
      </c>
      <c r="C342" s="17" t="s">
        <v>264</v>
      </c>
      <c r="D342" s="17" t="s">
        <v>1595</v>
      </c>
      <c r="E342" s="18" t="s">
        <v>1596</v>
      </c>
      <c r="F342" s="18" t="s">
        <v>91</v>
      </c>
      <c r="G342" s="17" t="s">
        <v>87</v>
      </c>
      <c r="H342" s="19" t="s">
        <v>95</v>
      </c>
      <c r="I342" s="19"/>
      <c r="J342" s="20" t="str">
        <f t="shared" si="5"/>
        <v/>
      </c>
      <c r="K342" s="20" t="str">
        <f>IF(G342="","",IF(COUNTIF('01_rules'!$A$2:$A$39,G342)=0,"rule 없음",""))</f>
        <v/>
      </c>
      <c r="L342" s="20" t="str">
        <f>IF(G342="","",IF(ISNUMBER(SEARCH(G342,IFERROR(VLOOKUP(C342,'03_units'!$B$2:$F$21,5,FALSE()),""))),"","unit 불일치"))</f>
        <v/>
      </c>
    </row>
    <row r="343" spans="1:12" ht="15" customHeight="1">
      <c r="A343" s="17" t="s">
        <v>1597</v>
      </c>
      <c r="B343" s="17">
        <v>3</v>
      </c>
      <c r="C343" s="17" t="s">
        <v>264</v>
      </c>
      <c r="D343" s="17" t="s">
        <v>1598</v>
      </c>
      <c r="E343" s="18" t="s">
        <v>1599</v>
      </c>
      <c r="F343" s="18" t="s">
        <v>91</v>
      </c>
      <c r="G343" s="17" t="s">
        <v>87</v>
      </c>
      <c r="H343" s="19" t="s">
        <v>95</v>
      </c>
      <c r="I343" s="19"/>
      <c r="J343" s="20" t="str">
        <f t="shared" si="5"/>
        <v/>
      </c>
      <c r="K343" s="20" t="str">
        <f>IF(G343="","",IF(COUNTIF('01_rules'!$A$2:$A$39,G343)=0,"rule 없음",""))</f>
        <v/>
      </c>
      <c r="L343" s="20" t="str">
        <f>IF(G343="","",IF(ISNUMBER(SEARCH(G343,IFERROR(VLOOKUP(C343,'03_units'!$B$2:$F$21,5,FALSE()),""))),"","unit 불일치"))</f>
        <v/>
      </c>
    </row>
    <row r="344" spans="1:12" ht="15" customHeight="1">
      <c r="A344" s="17" t="s">
        <v>1600</v>
      </c>
      <c r="B344" s="17">
        <v>3</v>
      </c>
      <c r="C344" s="17" t="s">
        <v>264</v>
      </c>
      <c r="D344" s="17" t="s">
        <v>1601</v>
      </c>
      <c r="E344" s="18" t="s">
        <v>1602</v>
      </c>
      <c r="F344" s="18" t="s">
        <v>91</v>
      </c>
      <c r="G344" s="17" t="s">
        <v>87</v>
      </c>
      <c r="H344" s="19" t="s">
        <v>95</v>
      </c>
      <c r="I344" s="19"/>
      <c r="J344" s="20" t="str">
        <f t="shared" si="5"/>
        <v/>
      </c>
      <c r="K344" s="20" t="str">
        <f>IF(G344="","",IF(COUNTIF('01_rules'!$A$2:$A$39,G344)=0,"rule 없음",""))</f>
        <v/>
      </c>
      <c r="L344" s="20" t="str">
        <f>IF(G344="","",IF(ISNUMBER(SEARCH(G344,IFERROR(VLOOKUP(C344,'03_units'!$B$2:$F$21,5,FALSE()),""))),"","unit 불일치"))</f>
        <v/>
      </c>
    </row>
    <row r="345" spans="1:12" ht="15" customHeight="1">
      <c r="A345" s="17" t="s">
        <v>1603</v>
      </c>
      <c r="B345" s="17">
        <v>3</v>
      </c>
      <c r="C345" s="17" t="s">
        <v>264</v>
      </c>
      <c r="D345" s="17" t="s">
        <v>1604</v>
      </c>
      <c r="E345" s="18" t="s">
        <v>1605</v>
      </c>
      <c r="F345" s="18" t="s">
        <v>91</v>
      </c>
      <c r="G345" s="17" t="s">
        <v>87</v>
      </c>
      <c r="H345" s="19" t="s">
        <v>95</v>
      </c>
      <c r="I345" s="19"/>
      <c r="J345" s="20" t="str">
        <f t="shared" si="5"/>
        <v/>
      </c>
      <c r="K345" s="20" t="str">
        <f>IF(G345="","",IF(COUNTIF('01_rules'!$A$2:$A$39,G345)=0,"rule 없음",""))</f>
        <v/>
      </c>
      <c r="L345" s="20" t="str">
        <f>IF(G345="","",IF(ISNUMBER(SEARCH(G345,IFERROR(VLOOKUP(C345,'03_units'!$B$2:$F$21,5,FALSE()),""))),"","unit 불일치"))</f>
        <v/>
      </c>
    </row>
    <row r="346" spans="1:12" ht="15" customHeight="1">
      <c r="A346" s="17" t="s">
        <v>1606</v>
      </c>
      <c r="B346" s="17">
        <v>3</v>
      </c>
      <c r="C346" s="17" t="s">
        <v>264</v>
      </c>
      <c r="D346" s="17" t="s">
        <v>1607</v>
      </c>
      <c r="E346" s="18" t="s">
        <v>1608</v>
      </c>
      <c r="F346" s="18" t="s">
        <v>91</v>
      </c>
      <c r="G346" s="17" t="s">
        <v>87</v>
      </c>
      <c r="H346" s="19" t="s">
        <v>95</v>
      </c>
      <c r="I346" s="19"/>
      <c r="J346" s="20" t="str">
        <f t="shared" si="5"/>
        <v/>
      </c>
      <c r="K346" s="20" t="str">
        <f>IF(G346="","",IF(COUNTIF('01_rules'!$A$2:$A$39,G346)=0,"rule 없음",""))</f>
        <v/>
      </c>
      <c r="L346" s="20" t="str">
        <f>IF(G346="","",IF(ISNUMBER(SEARCH(G346,IFERROR(VLOOKUP(C346,'03_units'!$B$2:$F$21,5,FALSE()),""))),"","unit 불일치"))</f>
        <v/>
      </c>
    </row>
    <row r="347" spans="1:12" ht="15" customHeight="1">
      <c r="A347" s="17" t="s">
        <v>1609</v>
      </c>
      <c r="B347" s="17">
        <v>4</v>
      </c>
      <c r="C347" s="17" t="s">
        <v>264</v>
      </c>
      <c r="D347" s="17" t="s">
        <v>1610</v>
      </c>
      <c r="E347" s="18" t="s">
        <v>1611</v>
      </c>
      <c r="F347" s="18" t="s">
        <v>91</v>
      </c>
      <c r="G347" s="17" t="s">
        <v>87</v>
      </c>
      <c r="H347" s="19" t="s">
        <v>95</v>
      </c>
      <c r="I347" s="19"/>
      <c r="J347" s="20" t="str">
        <f t="shared" si="5"/>
        <v/>
      </c>
      <c r="K347" s="20" t="str">
        <f>IF(G347="","",IF(COUNTIF('01_rules'!$A$2:$A$39,G347)=0,"rule 없음",""))</f>
        <v/>
      </c>
      <c r="L347" s="20" t="str">
        <f>IF(G347="","",IF(ISNUMBER(SEARCH(G347,IFERROR(VLOOKUP(C347,'03_units'!$B$2:$F$21,5,FALSE()),""))),"","unit 불일치"))</f>
        <v/>
      </c>
    </row>
    <row r="348" spans="1:12" ht="23.25" customHeight="1">
      <c r="A348" s="17" t="s">
        <v>1612</v>
      </c>
      <c r="B348" s="17">
        <v>4</v>
      </c>
      <c r="C348" s="17" t="s">
        <v>264</v>
      </c>
      <c r="D348" s="17" t="s">
        <v>1613</v>
      </c>
      <c r="E348" s="18" t="s">
        <v>1614</v>
      </c>
      <c r="F348" s="18" t="s">
        <v>91</v>
      </c>
      <c r="G348" s="17" t="s">
        <v>87</v>
      </c>
      <c r="H348" s="19" t="s">
        <v>95</v>
      </c>
      <c r="I348" s="19"/>
      <c r="J348" s="20" t="str">
        <f t="shared" si="5"/>
        <v/>
      </c>
      <c r="K348" s="20" t="str">
        <f>IF(G348="","",IF(COUNTIF('01_rules'!$A$2:$A$39,G348)=0,"rule 없음",""))</f>
        <v/>
      </c>
      <c r="L348" s="20" t="str">
        <f>IF(G348="","",IF(ISNUMBER(SEARCH(G348,IFERROR(VLOOKUP(C348,'03_units'!$B$2:$F$21,5,FALSE()),""))),"","unit 불일치"))</f>
        <v/>
      </c>
    </row>
    <row r="349" spans="1:12" ht="15" customHeight="1">
      <c r="A349" s="17" t="s">
        <v>1615</v>
      </c>
      <c r="B349" s="17">
        <v>4</v>
      </c>
      <c r="C349" s="17" t="s">
        <v>264</v>
      </c>
      <c r="D349" s="17" t="s">
        <v>1616</v>
      </c>
      <c r="E349" s="18" t="s">
        <v>1617</v>
      </c>
      <c r="F349" s="18" t="s">
        <v>91</v>
      </c>
      <c r="G349" s="17" t="s">
        <v>87</v>
      </c>
      <c r="H349" s="19" t="s">
        <v>95</v>
      </c>
      <c r="I349" s="19"/>
      <c r="J349" s="20" t="str">
        <f t="shared" si="5"/>
        <v/>
      </c>
      <c r="K349" s="20" t="str">
        <f>IF(G349="","",IF(COUNTIF('01_rules'!$A$2:$A$39,G349)=0,"rule 없음",""))</f>
        <v/>
      </c>
      <c r="L349" s="20" t="str">
        <f>IF(G349="","",IF(ISNUMBER(SEARCH(G349,IFERROR(VLOOKUP(C349,'03_units'!$B$2:$F$21,5,FALSE()),""))),"","unit 불일치"))</f>
        <v/>
      </c>
    </row>
    <row r="350" spans="1:12" ht="15" customHeight="1">
      <c r="A350" s="17" t="s">
        <v>1618</v>
      </c>
      <c r="B350" s="17">
        <v>4</v>
      </c>
      <c r="C350" s="17" t="s">
        <v>264</v>
      </c>
      <c r="D350" s="17" t="s">
        <v>1619</v>
      </c>
      <c r="E350" s="18" t="s">
        <v>1620</v>
      </c>
      <c r="F350" s="18" t="s">
        <v>91</v>
      </c>
      <c r="G350" s="17" t="s">
        <v>87</v>
      </c>
      <c r="H350" s="19" t="s">
        <v>95</v>
      </c>
      <c r="I350" s="19"/>
      <c r="J350" s="20" t="str">
        <f t="shared" si="5"/>
        <v/>
      </c>
      <c r="K350" s="20" t="str">
        <f>IF(G350="","",IF(COUNTIF('01_rules'!$A$2:$A$39,G350)=0,"rule 없음",""))</f>
        <v/>
      </c>
      <c r="L350" s="20" t="str">
        <f>IF(G350="","",IF(ISNUMBER(SEARCH(G350,IFERROR(VLOOKUP(C350,'03_units'!$B$2:$F$21,5,FALSE()),""))),"","unit 불일치"))</f>
        <v/>
      </c>
    </row>
    <row r="351" spans="1:12" ht="15" customHeight="1">
      <c r="A351" s="17" t="s">
        <v>1621</v>
      </c>
      <c r="B351" s="17">
        <v>4</v>
      </c>
      <c r="C351" s="17" t="s">
        <v>264</v>
      </c>
      <c r="D351" s="17" t="s">
        <v>1622</v>
      </c>
      <c r="E351" s="18" t="s">
        <v>1623</v>
      </c>
      <c r="F351" s="18" t="s">
        <v>91</v>
      </c>
      <c r="G351" s="17" t="s">
        <v>87</v>
      </c>
      <c r="H351" s="19" t="s">
        <v>95</v>
      </c>
      <c r="I351" s="19"/>
      <c r="J351" s="20" t="str">
        <f t="shared" si="5"/>
        <v/>
      </c>
      <c r="K351" s="20" t="str">
        <f>IF(G351="","",IF(COUNTIF('01_rules'!$A$2:$A$39,G351)=0,"rule 없음",""))</f>
        <v/>
      </c>
      <c r="L351" s="20" t="str">
        <f>IF(G351="","",IF(ISNUMBER(SEARCH(G351,IFERROR(VLOOKUP(C351,'03_units'!$B$2:$F$21,5,FALSE()),""))),"","unit 불일치"))</f>
        <v/>
      </c>
    </row>
    <row r="352" spans="1:12" ht="15" customHeight="1">
      <c r="A352" s="17" t="s">
        <v>1624</v>
      </c>
      <c r="B352" s="17">
        <v>5</v>
      </c>
      <c r="C352" s="17" t="s">
        <v>264</v>
      </c>
      <c r="D352" s="17" t="s">
        <v>1625</v>
      </c>
      <c r="E352" s="18" t="s">
        <v>1626</v>
      </c>
      <c r="F352" s="18" t="s">
        <v>266</v>
      </c>
      <c r="G352" s="17" t="s">
        <v>262</v>
      </c>
      <c r="H352" s="19" t="s">
        <v>95</v>
      </c>
      <c r="I352" s="19"/>
      <c r="J352" s="20" t="str">
        <f t="shared" si="5"/>
        <v/>
      </c>
      <c r="K352" s="20" t="str">
        <f>IF(G352="","",IF(COUNTIF('01_rules'!$A$2:$A$39,G352)=0,"rule 없음",""))</f>
        <v/>
      </c>
      <c r="L352" s="20" t="str">
        <f>IF(G352="","",IF(ISNUMBER(SEARCH(G352,IFERROR(VLOOKUP(C352,'03_units'!$B$2:$F$21,5,FALSE()),""))),"","unit 불일치"))</f>
        <v/>
      </c>
    </row>
    <row r="353" spans="1:12" ht="15" customHeight="1">
      <c r="A353" s="17" t="s">
        <v>1627</v>
      </c>
      <c r="B353" s="17">
        <v>5</v>
      </c>
      <c r="C353" s="17" t="s">
        <v>264</v>
      </c>
      <c r="D353" s="17" t="s">
        <v>1628</v>
      </c>
      <c r="E353" s="18" t="s">
        <v>1629</v>
      </c>
      <c r="F353" s="18" t="s">
        <v>266</v>
      </c>
      <c r="G353" s="17" t="s">
        <v>262</v>
      </c>
      <c r="H353" s="19" t="s">
        <v>95</v>
      </c>
      <c r="I353" s="19"/>
      <c r="J353" s="20" t="str">
        <f t="shared" si="5"/>
        <v/>
      </c>
      <c r="K353" s="20" t="str">
        <f>IF(G353="","",IF(COUNTIF('01_rules'!$A$2:$A$39,G353)=0,"rule 없음",""))</f>
        <v/>
      </c>
      <c r="L353" s="20" t="str">
        <f>IF(G353="","",IF(ISNUMBER(SEARCH(G353,IFERROR(VLOOKUP(C353,'03_units'!$B$2:$F$21,5,FALSE()),""))),"","unit 불일치"))</f>
        <v/>
      </c>
    </row>
    <row r="354" spans="1:12" ht="15" customHeight="1">
      <c r="A354" s="17" t="s">
        <v>1630</v>
      </c>
      <c r="B354" s="17">
        <v>5</v>
      </c>
      <c r="C354" s="17" t="s">
        <v>264</v>
      </c>
      <c r="D354" s="17" t="s">
        <v>1631</v>
      </c>
      <c r="E354" s="18" t="s">
        <v>1632</v>
      </c>
      <c r="F354" s="18" t="s">
        <v>266</v>
      </c>
      <c r="G354" s="17" t="s">
        <v>262</v>
      </c>
      <c r="H354" s="19" t="s">
        <v>95</v>
      </c>
      <c r="I354" s="19"/>
      <c r="J354" s="20" t="str">
        <f t="shared" si="5"/>
        <v/>
      </c>
      <c r="K354" s="20" t="str">
        <f>IF(G354="","",IF(COUNTIF('01_rules'!$A$2:$A$39,G354)=0,"rule 없음",""))</f>
        <v/>
      </c>
      <c r="L354" s="20" t="str">
        <f>IF(G354="","",IF(ISNUMBER(SEARCH(G354,IFERROR(VLOOKUP(C354,'03_units'!$B$2:$F$21,5,FALSE()),""))),"","unit 불일치"))</f>
        <v/>
      </c>
    </row>
    <row r="355" spans="1:12" ht="15" customHeight="1">
      <c r="A355" s="17" t="s">
        <v>1633</v>
      </c>
      <c r="B355" s="17">
        <v>5</v>
      </c>
      <c r="C355" s="17" t="s">
        <v>264</v>
      </c>
      <c r="D355" s="17" t="s">
        <v>1634</v>
      </c>
      <c r="E355" s="18" t="s">
        <v>1635</v>
      </c>
      <c r="F355" s="18" t="s">
        <v>266</v>
      </c>
      <c r="G355" s="17" t="s">
        <v>262</v>
      </c>
      <c r="H355" s="19" t="s">
        <v>95</v>
      </c>
      <c r="I355" s="19"/>
      <c r="J355" s="20" t="str">
        <f t="shared" si="5"/>
        <v/>
      </c>
      <c r="K355" s="20" t="str">
        <f>IF(G355="","",IF(COUNTIF('01_rules'!$A$2:$A$39,G355)=0,"rule 없음",""))</f>
        <v/>
      </c>
      <c r="L355" s="20" t="str">
        <f>IF(G355="","",IF(ISNUMBER(SEARCH(G355,IFERROR(VLOOKUP(C355,'03_units'!$B$2:$F$21,5,FALSE()),""))),"","unit 불일치"))</f>
        <v/>
      </c>
    </row>
    <row r="356" spans="1:12" ht="15" customHeight="1">
      <c r="A356" s="17" t="s">
        <v>1636</v>
      </c>
      <c r="B356" s="17">
        <v>5</v>
      </c>
      <c r="C356" s="17" t="s">
        <v>264</v>
      </c>
      <c r="D356" s="17" t="s">
        <v>1637</v>
      </c>
      <c r="E356" s="18" t="s">
        <v>1638</v>
      </c>
      <c r="F356" s="18" t="s">
        <v>266</v>
      </c>
      <c r="G356" s="17" t="s">
        <v>262</v>
      </c>
      <c r="H356" s="19" t="s">
        <v>95</v>
      </c>
      <c r="I356" s="19"/>
      <c r="J356" s="20" t="str">
        <f t="shared" si="5"/>
        <v/>
      </c>
      <c r="K356" s="20" t="str">
        <f>IF(G356="","",IF(COUNTIF('01_rules'!$A$2:$A$39,G356)=0,"rule 없음",""))</f>
        <v/>
      </c>
      <c r="L356" s="20" t="str">
        <f>IF(G356="","",IF(ISNUMBER(SEARCH(G356,IFERROR(VLOOKUP(C356,'03_units'!$B$2:$F$21,5,FALSE()),""))),"","unit 불일치"))</f>
        <v/>
      </c>
    </row>
    <row r="357" spans="1:12" ht="15" customHeight="1">
      <c r="A357" s="17" t="s">
        <v>1639</v>
      </c>
      <c r="B357" s="17">
        <v>6</v>
      </c>
      <c r="C357" s="17" t="s">
        <v>264</v>
      </c>
      <c r="D357" s="17" t="s">
        <v>1640</v>
      </c>
      <c r="E357" s="18" t="s">
        <v>1641</v>
      </c>
      <c r="F357" s="18" t="s">
        <v>313</v>
      </c>
      <c r="G357" s="17" t="s">
        <v>310</v>
      </c>
      <c r="H357" s="19" t="s">
        <v>95</v>
      </c>
      <c r="I357" s="19"/>
      <c r="J357" s="20" t="str">
        <f t="shared" si="5"/>
        <v/>
      </c>
      <c r="K357" s="20" t="str">
        <f>IF(G357="","",IF(COUNTIF('01_rules'!$A$2:$A$39,G357)=0,"rule 없음",""))</f>
        <v/>
      </c>
      <c r="L357" s="20" t="str">
        <f>IF(G357="","",IF(ISNUMBER(SEARCH(G357,IFERROR(VLOOKUP(C357,'03_units'!$B$2:$F$21,5,FALSE()),""))),"","unit 불일치"))</f>
        <v/>
      </c>
    </row>
    <row r="358" spans="1:12" ht="15" customHeight="1">
      <c r="A358" s="17" t="s">
        <v>1642</v>
      </c>
      <c r="B358" s="17">
        <v>6</v>
      </c>
      <c r="C358" s="17" t="s">
        <v>264</v>
      </c>
      <c r="D358" s="17" t="s">
        <v>1643</v>
      </c>
      <c r="E358" s="18" t="s">
        <v>1644</v>
      </c>
      <c r="F358" s="18" t="s">
        <v>266</v>
      </c>
      <c r="G358" s="17" t="s">
        <v>262</v>
      </c>
      <c r="H358" s="19" t="s">
        <v>95</v>
      </c>
      <c r="I358" s="19"/>
      <c r="J358" s="20" t="str">
        <f t="shared" si="5"/>
        <v/>
      </c>
      <c r="K358" s="20" t="str">
        <f>IF(G358="","",IF(COUNTIF('01_rules'!$A$2:$A$39,G358)=0,"rule 없음",""))</f>
        <v/>
      </c>
      <c r="L358" s="20" t="str">
        <f>IF(G358="","",IF(ISNUMBER(SEARCH(G358,IFERROR(VLOOKUP(C358,'03_units'!$B$2:$F$21,5,FALSE()),""))),"","unit 불일치"))</f>
        <v/>
      </c>
    </row>
    <row r="359" spans="1:12" ht="29.25" customHeight="1">
      <c r="A359" s="17" t="s">
        <v>1645</v>
      </c>
      <c r="B359" s="17">
        <v>6</v>
      </c>
      <c r="C359" s="17" t="s">
        <v>264</v>
      </c>
      <c r="D359" s="17" t="s">
        <v>1646</v>
      </c>
      <c r="E359" s="18" t="s">
        <v>1647</v>
      </c>
      <c r="F359" s="18" t="s">
        <v>272</v>
      </c>
      <c r="G359" s="17" t="s">
        <v>269</v>
      </c>
      <c r="H359" s="19" t="s">
        <v>95</v>
      </c>
      <c r="I359" s="19"/>
      <c r="J359" s="20" t="str">
        <f t="shared" si="5"/>
        <v/>
      </c>
      <c r="K359" s="20" t="str">
        <f>IF(G359="","",IF(COUNTIF('01_rules'!$A$2:$A$39,G359)=0,"rule 없음",""))</f>
        <v/>
      </c>
      <c r="L359" s="20" t="str">
        <f>IF(G359="","",IF(ISNUMBER(SEARCH(G359,IFERROR(VLOOKUP(C359,'03_units'!$B$2:$F$21,5,FALSE()),""))),"","unit 불일치"))</f>
        <v/>
      </c>
    </row>
    <row r="360" spans="1:12" ht="15" customHeight="1">
      <c r="A360" s="17" t="s">
        <v>1648</v>
      </c>
      <c r="B360" s="17">
        <v>6</v>
      </c>
      <c r="C360" s="17" t="s">
        <v>264</v>
      </c>
      <c r="D360" s="17" t="s">
        <v>1649</v>
      </c>
      <c r="E360" s="18" t="s">
        <v>1650</v>
      </c>
      <c r="F360" s="18" t="s">
        <v>266</v>
      </c>
      <c r="G360" s="17" t="s">
        <v>262</v>
      </c>
      <c r="H360" s="19" t="s">
        <v>95</v>
      </c>
      <c r="I360" s="19"/>
      <c r="J360" s="20" t="str">
        <f t="shared" si="5"/>
        <v/>
      </c>
      <c r="K360" s="20" t="str">
        <f>IF(G360="","",IF(COUNTIF('01_rules'!$A$2:$A$39,G360)=0,"rule 없음",""))</f>
        <v/>
      </c>
      <c r="L360" s="20" t="str">
        <f>IF(G360="","",IF(ISNUMBER(SEARCH(G360,IFERROR(VLOOKUP(C360,'03_units'!$B$2:$F$21,5,FALSE()),""))),"","unit 불일치"))</f>
        <v/>
      </c>
    </row>
    <row r="361" spans="1:12" ht="15" customHeight="1">
      <c r="A361" s="17" t="s">
        <v>1651</v>
      </c>
      <c r="B361" s="17">
        <v>6</v>
      </c>
      <c r="C361" s="17" t="s">
        <v>264</v>
      </c>
      <c r="D361" s="17" t="s">
        <v>1652</v>
      </c>
      <c r="E361" s="18" t="s">
        <v>1653</v>
      </c>
      <c r="F361" s="18" t="s">
        <v>272</v>
      </c>
      <c r="G361" s="17" t="s">
        <v>269</v>
      </c>
      <c r="H361" s="19" t="s">
        <v>95</v>
      </c>
      <c r="I361" s="19"/>
      <c r="J361" s="20" t="str">
        <f t="shared" si="5"/>
        <v/>
      </c>
      <c r="K361" s="20" t="str">
        <f>IF(G361="","",IF(COUNTIF('01_rules'!$A$2:$A$39,G361)=0,"rule 없음",""))</f>
        <v/>
      </c>
      <c r="L361" s="20" t="str">
        <f>IF(G361="","",IF(ISNUMBER(SEARCH(G361,IFERROR(VLOOKUP(C361,'03_units'!$B$2:$F$21,5,FALSE()),""))),"","unit 불일치"))</f>
        <v/>
      </c>
    </row>
    <row r="362" spans="1:12" ht="29.25" customHeight="1">
      <c r="A362" s="17" t="s">
        <v>1654</v>
      </c>
      <c r="B362" s="17">
        <v>3</v>
      </c>
      <c r="C362" s="17" t="s">
        <v>277</v>
      </c>
      <c r="D362" s="17" t="s">
        <v>1655</v>
      </c>
      <c r="E362" s="18" t="s">
        <v>1656</v>
      </c>
      <c r="F362" s="18" t="s">
        <v>301</v>
      </c>
      <c r="G362" s="17" t="s">
        <v>297</v>
      </c>
      <c r="H362" s="19" t="s">
        <v>95</v>
      </c>
      <c r="I362" s="19"/>
      <c r="J362" s="20" t="str">
        <f t="shared" si="5"/>
        <v/>
      </c>
      <c r="K362" s="20" t="str">
        <f>IF(G362="","",IF(COUNTIF('01_rules'!$A$2:$A$39,G362)=0,"rule 없음",""))</f>
        <v/>
      </c>
      <c r="L362" s="20" t="str">
        <f>IF(G362="","",IF(ISNUMBER(SEARCH(G362,IFERROR(VLOOKUP(C362,'03_units'!$B$2:$F$21,5,FALSE()),""))),"","unit 불일치"))</f>
        <v/>
      </c>
    </row>
    <row r="363" spans="1:12" ht="23.25" customHeight="1">
      <c r="A363" s="17" t="s">
        <v>1657</v>
      </c>
      <c r="B363" s="17">
        <v>3</v>
      </c>
      <c r="C363" s="17" t="s">
        <v>277</v>
      </c>
      <c r="D363" s="17" t="s">
        <v>1658</v>
      </c>
      <c r="E363" s="18" t="s">
        <v>1659</v>
      </c>
      <c r="F363" s="18" t="s">
        <v>301</v>
      </c>
      <c r="G363" s="17" t="s">
        <v>297</v>
      </c>
      <c r="H363" s="19" t="s">
        <v>95</v>
      </c>
      <c r="I363" s="19"/>
      <c r="J363" s="20" t="str">
        <f t="shared" si="5"/>
        <v/>
      </c>
      <c r="K363" s="20" t="str">
        <f>IF(G363="","",IF(COUNTIF('01_rules'!$A$2:$A$39,G363)=0,"rule 없음",""))</f>
        <v/>
      </c>
      <c r="L363" s="20" t="str">
        <f>IF(G363="","",IF(ISNUMBER(SEARCH(G363,IFERROR(VLOOKUP(C363,'03_units'!$B$2:$F$21,5,FALSE()),""))),"","unit 불일치"))</f>
        <v/>
      </c>
    </row>
    <row r="364" spans="1:12" ht="15" customHeight="1">
      <c r="A364" s="17" t="s">
        <v>1660</v>
      </c>
      <c r="B364" s="17">
        <v>3</v>
      </c>
      <c r="C364" s="17" t="s">
        <v>277</v>
      </c>
      <c r="D364" s="17" t="s">
        <v>1661</v>
      </c>
      <c r="E364" s="18" t="s">
        <v>1662</v>
      </c>
      <c r="F364" s="18" t="s">
        <v>145</v>
      </c>
      <c r="G364" s="17" t="s">
        <v>141</v>
      </c>
      <c r="H364" s="19" t="s">
        <v>95</v>
      </c>
      <c r="I364" s="19"/>
      <c r="J364" s="20" t="str">
        <f t="shared" si="5"/>
        <v/>
      </c>
      <c r="K364" s="20" t="str">
        <f>IF(G364="","",IF(COUNTIF('01_rules'!$A$2:$A$39,G364)=0,"rule 없음",""))</f>
        <v/>
      </c>
      <c r="L364" s="20" t="str">
        <f>IF(G364="","",IF(ISNUMBER(SEARCH(G364,IFERROR(VLOOKUP(C364,'03_units'!$B$2:$F$21,5,FALSE()),""))),"","unit 불일치"))</f>
        <v/>
      </c>
    </row>
    <row r="365" spans="1:12" ht="29.25" customHeight="1">
      <c r="A365" s="17" t="s">
        <v>1663</v>
      </c>
      <c r="B365" s="17">
        <v>3</v>
      </c>
      <c r="C365" s="17" t="s">
        <v>277</v>
      </c>
      <c r="D365" s="17" t="s">
        <v>1664</v>
      </c>
      <c r="E365" s="18" t="s">
        <v>1665</v>
      </c>
      <c r="F365" s="18" t="s">
        <v>279</v>
      </c>
      <c r="G365" s="17" t="s">
        <v>275</v>
      </c>
      <c r="H365" s="19" t="s">
        <v>95</v>
      </c>
      <c r="I365" s="19"/>
      <c r="J365" s="20" t="str">
        <f t="shared" si="5"/>
        <v/>
      </c>
      <c r="K365" s="20" t="str">
        <f>IF(G365="","",IF(COUNTIF('01_rules'!$A$2:$A$39,G365)=0,"rule 없음",""))</f>
        <v/>
      </c>
      <c r="L365" s="20" t="str">
        <f>IF(G365="","",IF(ISNUMBER(SEARCH(G365,IFERROR(VLOOKUP(C365,'03_units'!$B$2:$F$21,5,FALSE()),""))),"","unit 불일치"))</f>
        <v/>
      </c>
    </row>
    <row r="366" spans="1:12" ht="29.25" customHeight="1">
      <c r="A366" s="17" t="s">
        <v>1666</v>
      </c>
      <c r="B366" s="17">
        <v>3</v>
      </c>
      <c r="C366" s="17" t="s">
        <v>277</v>
      </c>
      <c r="D366" s="17" t="s">
        <v>1667</v>
      </c>
      <c r="E366" s="18" t="s">
        <v>1668</v>
      </c>
      <c r="F366" s="18" t="s">
        <v>336</v>
      </c>
      <c r="G366" s="17" t="s">
        <v>334</v>
      </c>
      <c r="H366" s="19" t="s">
        <v>95</v>
      </c>
      <c r="I366" s="19"/>
      <c r="J366" s="20" t="str">
        <f t="shared" si="5"/>
        <v/>
      </c>
      <c r="K366" s="20" t="str">
        <f>IF(G366="","",IF(COUNTIF('01_rules'!$A$2:$A$39,G366)=0,"rule 없음",""))</f>
        <v/>
      </c>
      <c r="L366" s="20" t="str">
        <f>IF(G366="","",IF(ISNUMBER(SEARCH(G366,IFERROR(VLOOKUP(C366,'03_units'!$B$2:$F$21,5,FALSE()),""))),"","unit 불일치"))</f>
        <v/>
      </c>
    </row>
    <row r="367" spans="1:12" ht="15" customHeight="1">
      <c r="A367" s="17" t="s">
        <v>1669</v>
      </c>
      <c r="B367" s="17">
        <v>4</v>
      </c>
      <c r="C367" s="17" t="s">
        <v>277</v>
      </c>
      <c r="D367" s="17" t="s">
        <v>1670</v>
      </c>
      <c r="E367" s="18" t="s">
        <v>1671</v>
      </c>
      <c r="F367" s="18" t="s">
        <v>145</v>
      </c>
      <c r="G367" s="17" t="s">
        <v>141</v>
      </c>
      <c r="H367" s="19" t="s">
        <v>95</v>
      </c>
      <c r="I367" s="19"/>
      <c r="J367" s="20" t="str">
        <f t="shared" si="5"/>
        <v/>
      </c>
      <c r="K367" s="20" t="str">
        <f>IF(G367="","",IF(COUNTIF('01_rules'!$A$2:$A$39,G367)=0,"rule 없음",""))</f>
        <v/>
      </c>
      <c r="L367" s="20" t="str">
        <f>IF(G367="","",IF(ISNUMBER(SEARCH(G367,IFERROR(VLOOKUP(C367,'03_units'!$B$2:$F$21,5,FALSE()),""))),"","unit 불일치"))</f>
        <v/>
      </c>
    </row>
    <row r="368" spans="1:12" ht="29.25" customHeight="1">
      <c r="A368" s="17" t="s">
        <v>1672</v>
      </c>
      <c r="B368" s="17">
        <v>4</v>
      </c>
      <c r="C368" s="17" t="s">
        <v>277</v>
      </c>
      <c r="D368" s="17" t="s">
        <v>1673</v>
      </c>
      <c r="E368" s="18" t="s">
        <v>1674</v>
      </c>
      <c r="F368" s="18" t="s">
        <v>336</v>
      </c>
      <c r="G368" s="17" t="s">
        <v>334</v>
      </c>
      <c r="H368" s="19" t="s">
        <v>95</v>
      </c>
      <c r="I368" s="19"/>
      <c r="J368" s="20" t="str">
        <f t="shared" si="5"/>
        <v/>
      </c>
      <c r="K368" s="20" t="str">
        <f>IF(G368="","",IF(COUNTIF('01_rules'!$A$2:$A$39,G368)=0,"rule 없음",""))</f>
        <v/>
      </c>
      <c r="L368" s="20" t="str">
        <f>IF(G368="","",IF(ISNUMBER(SEARCH(G368,IFERROR(VLOOKUP(C368,'03_units'!$B$2:$F$21,5,FALSE()),""))),"","unit 불일치"))</f>
        <v/>
      </c>
    </row>
    <row r="369" spans="1:12" ht="15" customHeight="1">
      <c r="A369" s="17" t="s">
        <v>1675</v>
      </c>
      <c r="B369" s="17">
        <v>4</v>
      </c>
      <c r="C369" s="17" t="s">
        <v>277</v>
      </c>
      <c r="D369" s="17" t="s">
        <v>1676</v>
      </c>
      <c r="E369" s="18" t="s">
        <v>1677</v>
      </c>
      <c r="F369" s="18" t="s">
        <v>336</v>
      </c>
      <c r="G369" s="17" t="s">
        <v>334</v>
      </c>
      <c r="H369" s="19" t="s">
        <v>95</v>
      </c>
      <c r="I369" s="19"/>
      <c r="J369" s="20" t="str">
        <f t="shared" si="5"/>
        <v/>
      </c>
      <c r="K369" s="20" t="str">
        <f>IF(G369="","",IF(COUNTIF('01_rules'!$A$2:$A$39,G369)=0,"rule 없음",""))</f>
        <v/>
      </c>
      <c r="L369" s="20" t="str">
        <f>IF(G369="","",IF(ISNUMBER(SEARCH(G369,IFERROR(VLOOKUP(C369,'03_units'!$B$2:$F$21,5,FALSE()),""))),"","unit 불일치"))</f>
        <v/>
      </c>
    </row>
    <row r="370" spans="1:12" ht="29.25" customHeight="1">
      <c r="A370" s="17" t="s">
        <v>1678</v>
      </c>
      <c r="B370" s="17">
        <v>4</v>
      </c>
      <c r="C370" s="17" t="s">
        <v>277</v>
      </c>
      <c r="D370" s="17" t="s">
        <v>1679</v>
      </c>
      <c r="E370" s="18" t="s">
        <v>1680</v>
      </c>
      <c r="F370" s="18" t="s">
        <v>336</v>
      </c>
      <c r="G370" s="17" t="s">
        <v>334</v>
      </c>
      <c r="H370" s="19" t="s">
        <v>95</v>
      </c>
      <c r="I370" s="19"/>
      <c r="J370" s="20" t="str">
        <f t="shared" si="5"/>
        <v/>
      </c>
      <c r="K370" s="20" t="str">
        <f>IF(G370="","",IF(COUNTIF('01_rules'!$A$2:$A$39,G370)=0,"rule 없음",""))</f>
        <v/>
      </c>
      <c r="L370" s="20" t="str">
        <f>IF(G370="","",IF(ISNUMBER(SEARCH(G370,IFERROR(VLOOKUP(C370,'03_units'!$B$2:$F$21,5,FALSE()),""))),"","unit 불일치"))</f>
        <v/>
      </c>
    </row>
    <row r="371" spans="1:12" ht="15" customHeight="1">
      <c r="A371" s="17" t="s">
        <v>1681</v>
      </c>
      <c r="B371" s="17">
        <v>4</v>
      </c>
      <c r="C371" s="17" t="s">
        <v>277</v>
      </c>
      <c r="D371" s="17" t="s">
        <v>1682</v>
      </c>
      <c r="E371" s="18" t="s">
        <v>1683</v>
      </c>
      <c r="F371" s="18" t="s">
        <v>336</v>
      </c>
      <c r="G371" s="17" t="s">
        <v>334</v>
      </c>
      <c r="H371" s="19" t="s">
        <v>95</v>
      </c>
      <c r="I371" s="19"/>
      <c r="J371" s="20" t="str">
        <f t="shared" si="5"/>
        <v/>
      </c>
      <c r="K371" s="20" t="str">
        <f>IF(G371="","",IF(COUNTIF('01_rules'!$A$2:$A$39,G371)=0,"rule 없음",""))</f>
        <v/>
      </c>
      <c r="L371" s="20" t="str">
        <f>IF(G371="","",IF(ISNUMBER(SEARCH(G371,IFERROR(VLOOKUP(C371,'03_units'!$B$2:$F$21,5,FALSE()),""))),"","unit 불일치"))</f>
        <v/>
      </c>
    </row>
    <row r="372" spans="1:12" ht="15" customHeight="1">
      <c r="A372" s="17" t="s">
        <v>1684</v>
      </c>
      <c r="B372" s="17">
        <v>5</v>
      </c>
      <c r="C372" s="17" t="s">
        <v>277</v>
      </c>
      <c r="D372" s="17" t="s">
        <v>1685</v>
      </c>
      <c r="E372" s="18" t="s">
        <v>1686</v>
      </c>
      <c r="F372" s="18" t="s">
        <v>336</v>
      </c>
      <c r="G372" s="17" t="s">
        <v>334</v>
      </c>
      <c r="H372" s="19" t="s">
        <v>95</v>
      </c>
      <c r="I372" s="19"/>
      <c r="J372" s="20" t="str">
        <f t="shared" si="5"/>
        <v/>
      </c>
      <c r="K372" s="20" t="str">
        <f>IF(G372="","",IF(COUNTIF('01_rules'!$A$2:$A$39,G372)=0,"rule 없음",""))</f>
        <v/>
      </c>
      <c r="L372" s="20" t="str">
        <f>IF(G372="","",IF(ISNUMBER(SEARCH(G372,IFERROR(VLOOKUP(C372,'03_units'!$B$2:$F$21,5,FALSE()),""))),"","unit 불일치"))</f>
        <v/>
      </c>
    </row>
    <row r="373" spans="1:12" ht="15" customHeight="1">
      <c r="A373" s="17" t="s">
        <v>1687</v>
      </c>
      <c r="B373" s="17">
        <v>5</v>
      </c>
      <c r="C373" s="17" t="s">
        <v>277</v>
      </c>
      <c r="D373" s="17" t="s">
        <v>1688</v>
      </c>
      <c r="E373" s="18" t="s">
        <v>1689</v>
      </c>
      <c r="F373" s="18" t="s">
        <v>336</v>
      </c>
      <c r="G373" s="17" t="s">
        <v>334</v>
      </c>
      <c r="H373" s="19" t="s">
        <v>95</v>
      </c>
      <c r="I373" s="19"/>
      <c r="J373" s="20" t="str">
        <f t="shared" si="5"/>
        <v/>
      </c>
      <c r="K373" s="20" t="str">
        <f>IF(G373="","",IF(COUNTIF('01_rules'!$A$2:$A$39,G373)=0,"rule 없음",""))</f>
        <v/>
      </c>
      <c r="L373" s="20" t="str">
        <f>IF(G373="","",IF(ISNUMBER(SEARCH(G373,IFERROR(VLOOKUP(C373,'03_units'!$B$2:$F$21,5,FALSE()),""))),"","unit 불일치"))</f>
        <v/>
      </c>
    </row>
    <row r="374" spans="1:12" ht="15" customHeight="1">
      <c r="A374" s="17" t="s">
        <v>1690</v>
      </c>
      <c r="B374" s="17">
        <v>5</v>
      </c>
      <c r="C374" s="17" t="s">
        <v>277</v>
      </c>
      <c r="D374" s="17" t="s">
        <v>1691</v>
      </c>
      <c r="E374" s="18" t="s">
        <v>1692</v>
      </c>
      <c r="F374" s="18" t="s">
        <v>336</v>
      </c>
      <c r="G374" s="17" t="s">
        <v>334</v>
      </c>
      <c r="H374" s="19" t="s">
        <v>95</v>
      </c>
      <c r="I374" s="19"/>
      <c r="J374" s="20" t="str">
        <f t="shared" si="5"/>
        <v/>
      </c>
      <c r="K374" s="20" t="str">
        <f>IF(G374="","",IF(COUNTIF('01_rules'!$A$2:$A$39,G374)=0,"rule 없음",""))</f>
        <v/>
      </c>
      <c r="L374" s="20" t="str">
        <f>IF(G374="","",IF(ISNUMBER(SEARCH(G374,IFERROR(VLOOKUP(C374,'03_units'!$B$2:$F$21,5,FALSE()),""))),"","unit 불일치"))</f>
        <v/>
      </c>
    </row>
    <row r="375" spans="1:12" ht="15" customHeight="1">
      <c r="A375" s="17" t="s">
        <v>1693</v>
      </c>
      <c r="B375" s="17">
        <v>5</v>
      </c>
      <c r="C375" s="17" t="s">
        <v>277</v>
      </c>
      <c r="D375" s="17" t="s">
        <v>1694</v>
      </c>
      <c r="E375" s="18" t="s">
        <v>1695</v>
      </c>
      <c r="F375" s="18" t="s">
        <v>336</v>
      </c>
      <c r="G375" s="17" t="s">
        <v>334</v>
      </c>
      <c r="H375" s="19" t="s">
        <v>95</v>
      </c>
      <c r="I375" s="19"/>
      <c r="J375" s="20" t="str">
        <f t="shared" si="5"/>
        <v/>
      </c>
      <c r="K375" s="20" t="str">
        <f>IF(G375="","",IF(COUNTIF('01_rules'!$A$2:$A$39,G375)=0,"rule 없음",""))</f>
        <v/>
      </c>
      <c r="L375" s="20" t="str">
        <f>IF(G375="","",IF(ISNUMBER(SEARCH(G375,IFERROR(VLOOKUP(C375,'03_units'!$B$2:$F$21,5,FALSE()),""))),"","unit 불일치"))</f>
        <v/>
      </c>
    </row>
    <row r="376" spans="1:12" ht="15" customHeight="1">
      <c r="A376" s="17" t="s">
        <v>1696</v>
      </c>
      <c r="B376" s="17">
        <v>5</v>
      </c>
      <c r="C376" s="17" t="s">
        <v>277</v>
      </c>
      <c r="D376" s="17" t="s">
        <v>1697</v>
      </c>
      <c r="E376" s="18" t="s">
        <v>1698</v>
      </c>
      <c r="F376" s="18" t="s">
        <v>212</v>
      </c>
      <c r="G376" s="17" t="s">
        <v>208</v>
      </c>
      <c r="H376" s="19" t="s">
        <v>95</v>
      </c>
      <c r="I376" s="19"/>
      <c r="J376" s="20" t="str">
        <f t="shared" si="5"/>
        <v/>
      </c>
      <c r="K376" s="20" t="str">
        <f>IF(G376="","",IF(COUNTIF('01_rules'!$A$2:$A$39,G376)=0,"rule 없음",""))</f>
        <v/>
      </c>
      <c r="L376" s="20" t="str">
        <f>IF(G376="","",IF(ISNUMBER(SEARCH(G376,IFERROR(VLOOKUP(C376,'03_units'!$B$2:$F$21,5,FALSE()),""))),"","unit 불일치"))</f>
        <v/>
      </c>
    </row>
    <row r="377" spans="1:12" ht="15" customHeight="1">
      <c r="A377" s="17" t="s">
        <v>1699</v>
      </c>
      <c r="B377" s="17">
        <v>6</v>
      </c>
      <c r="C377" s="17" t="s">
        <v>277</v>
      </c>
      <c r="D377" s="17" t="s">
        <v>1700</v>
      </c>
      <c r="E377" s="18" t="s">
        <v>1701</v>
      </c>
      <c r="F377" s="18" t="s">
        <v>279</v>
      </c>
      <c r="G377" s="17" t="s">
        <v>275</v>
      </c>
      <c r="H377" s="19" t="s">
        <v>95</v>
      </c>
      <c r="I377" s="19"/>
      <c r="J377" s="20" t="str">
        <f t="shared" si="5"/>
        <v/>
      </c>
      <c r="K377" s="20" t="str">
        <f>IF(G377="","",IF(COUNTIF('01_rules'!$A$2:$A$39,G377)=0,"rule 없음",""))</f>
        <v/>
      </c>
      <c r="L377" s="20" t="str">
        <f>IF(G377="","",IF(ISNUMBER(SEARCH(G377,IFERROR(VLOOKUP(C377,'03_units'!$B$2:$F$21,5,FALSE()),""))),"","unit 불일치"))</f>
        <v/>
      </c>
    </row>
    <row r="378" spans="1:12" ht="15" customHeight="1">
      <c r="A378" s="17" t="s">
        <v>1702</v>
      </c>
      <c r="B378" s="17">
        <v>6</v>
      </c>
      <c r="C378" s="17" t="s">
        <v>277</v>
      </c>
      <c r="D378" s="17" t="s">
        <v>1703</v>
      </c>
      <c r="E378" s="18" t="s">
        <v>1704</v>
      </c>
      <c r="F378" s="18" t="s">
        <v>313</v>
      </c>
      <c r="G378" s="17" t="s">
        <v>310</v>
      </c>
      <c r="H378" s="19" t="s">
        <v>95</v>
      </c>
      <c r="I378" s="19"/>
      <c r="J378" s="20" t="str">
        <f t="shared" si="5"/>
        <v/>
      </c>
      <c r="K378" s="20" t="str">
        <f>IF(G378="","",IF(COUNTIF('01_rules'!$A$2:$A$39,G378)=0,"rule 없음",""))</f>
        <v/>
      </c>
      <c r="L378" s="20" t="str">
        <f>IF(G378="","",IF(ISNUMBER(SEARCH(G378,IFERROR(VLOOKUP(C378,'03_units'!$B$2:$F$21,5,FALSE()),""))),"","unit 불일치"))</f>
        <v/>
      </c>
    </row>
    <row r="379" spans="1:12" ht="15" customHeight="1">
      <c r="A379" s="17" t="s">
        <v>1705</v>
      </c>
      <c r="B379" s="17">
        <v>6</v>
      </c>
      <c r="C379" s="17" t="s">
        <v>277</v>
      </c>
      <c r="D379" s="17" t="s">
        <v>1706</v>
      </c>
      <c r="E379" s="18" t="s">
        <v>1707</v>
      </c>
      <c r="F379" s="18" t="s">
        <v>336</v>
      </c>
      <c r="G379" s="17" t="s">
        <v>334</v>
      </c>
      <c r="H379" s="19" t="s">
        <v>95</v>
      </c>
      <c r="I379" s="19"/>
      <c r="J379" s="20" t="str">
        <f t="shared" si="5"/>
        <v/>
      </c>
      <c r="K379" s="20" t="str">
        <f>IF(G379="","",IF(COUNTIF('01_rules'!$A$2:$A$39,G379)=0,"rule 없음",""))</f>
        <v/>
      </c>
      <c r="L379" s="20" t="str">
        <f>IF(G379="","",IF(ISNUMBER(SEARCH(G379,IFERROR(VLOOKUP(C379,'03_units'!$B$2:$F$21,5,FALSE()),""))),"","unit 불일치"))</f>
        <v/>
      </c>
    </row>
    <row r="380" spans="1:12" ht="15" customHeight="1">
      <c r="A380" s="17" t="s">
        <v>1708</v>
      </c>
      <c r="B380" s="17">
        <v>6</v>
      </c>
      <c r="C380" s="17" t="s">
        <v>277</v>
      </c>
      <c r="D380" s="17" t="s">
        <v>1709</v>
      </c>
      <c r="E380" s="18" t="s">
        <v>1710</v>
      </c>
      <c r="F380" s="18" t="s">
        <v>336</v>
      </c>
      <c r="G380" s="17" t="s">
        <v>334</v>
      </c>
      <c r="H380" s="19" t="s">
        <v>95</v>
      </c>
      <c r="I380" s="19"/>
      <c r="J380" s="20" t="str">
        <f t="shared" si="5"/>
        <v/>
      </c>
      <c r="K380" s="20" t="str">
        <f>IF(G380="","",IF(COUNTIF('01_rules'!$A$2:$A$39,G380)=0,"rule 없음",""))</f>
        <v/>
      </c>
      <c r="L380" s="20" t="str">
        <f>IF(G380="","",IF(ISNUMBER(SEARCH(G380,IFERROR(VLOOKUP(C380,'03_units'!$B$2:$F$21,5,FALSE()),""))),"","unit 불일치"))</f>
        <v/>
      </c>
    </row>
    <row r="381" spans="1:12" ht="15" customHeight="1">
      <c r="A381" s="17" t="s">
        <v>1711</v>
      </c>
      <c r="B381" s="17">
        <v>6</v>
      </c>
      <c r="C381" s="17" t="s">
        <v>277</v>
      </c>
      <c r="D381" s="17" t="s">
        <v>1712</v>
      </c>
      <c r="E381" s="18" t="s">
        <v>1713</v>
      </c>
      <c r="F381" s="18" t="s">
        <v>336</v>
      </c>
      <c r="G381" s="17" t="s">
        <v>334</v>
      </c>
      <c r="H381" s="19" t="s">
        <v>95</v>
      </c>
      <c r="I381" s="19"/>
      <c r="J381" s="20" t="str">
        <f t="shared" si="5"/>
        <v/>
      </c>
      <c r="K381" s="20" t="str">
        <f>IF(G381="","",IF(COUNTIF('01_rules'!$A$2:$A$39,G381)=0,"rule 없음",""))</f>
        <v/>
      </c>
      <c r="L381" s="20" t="str">
        <f>IF(G381="","",IF(ISNUMBER(SEARCH(G381,IFERROR(VLOOKUP(C381,'03_units'!$B$2:$F$21,5,FALSE()),""))),"","unit 불일치"))</f>
        <v/>
      </c>
    </row>
    <row r="382" spans="1:12" ht="15" customHeight="1">
      <c r="A382" s="17" t="s">
        <v>1714</v>
      </c>
      <c r="B382" s="17">
        <v>3</v>
      </c>
      <c r="C382" s="17" t="s">
        <v>284</v>
      </c>
      <c r="D382" s="17" t="s">
        <v>1715</v>
      </c>
      <c r="E382" s="18" t="s">
        <v>1716</v>
      </c>
      <c r="F382" s="18" t="s">
        <v>286</v>
      </c>
      <c r="G382" s="17" t="s">
        <v>282</v>
      </c>
      <c r="H382" s="19" t="s">
        <v>95</v>
      </c>
      <c r="I382" s="19"/>
      <c r="J382" s="20" t="str">
        <f t="shared" si="5"/>
        <v/>
      </c>
      <c r="K382" s="20" t="str">
        <f>IF(G382="","",IF(COUNTIF('01_rules'!$A$2:$A$39,G382)=0,"rule 없음",""))</f>
        <v/>
      </c>
      <c r="L382" s="20" t="str">
        <f>IF(G382="","",IF(ISNUMBER(SEARCH(G382,IFERROR(VLOOKUP(C382,'03_units'!$B$2:$F$21,5,FALSE()),""))),"","unit 불일치"))</f>
        <v/>
      </c>
    </row>
    <row r="383" spans="1:12" ht="23.25" customHeight="1">
      <c r="A383" s="17" t="s">
        <v>1717</v>
      </c>
      <c r="B383" s="17">
        <v>3</v>
      </c>
      <c r="C383" s="17" t="s">
        <v>284</v>
      </c>
      <c r="D383" s="17" t="s">
        <v>1718</v>
      </c>
      <c r="E383" s="18" t="s">
        <v>1719</v>
      </c>
      <c r="F383" s="18" t="s">
        <v>286</v>
      </c>
      <c r="G383" s="17" t="s">
        <v>282</v>
      </c>
      <c r="H383" s="19" t="s">
        <v>95</v>
      </c>
      <c r="I383" s="19"/>
      <c r="J383" s="20" t="str">
        <f t="shared" si="5"/>
        <v/>
      </c>
      <c r="K383" s="20" t="str">
        <f>IF(G383="","",IF(COUNTIF('01_rules'!$A$2:$A$39,G383)=0,"rule 없음",""))</f>
        <v/>
      </c>
      <c r="L383" s="20" t="str">
        <f>IF(G383="","",IF(ISNUMBER(SEARCH(G383,IFERROR(VLOOKUP(C383,'03_units'!$B$2:$F$21,5,FALSE()),""))),"","unit 불일치"))</f>
        <v/>
      </c>
    </row>
    <row r="384" spans="1:12" ht="15" customHeight="1">
      <c r="A384" s="17" t="s">
        <v>1720</v>
      </c>
      <c r="B384" s="17">
        <v>3</v>
      </c>
      <c r="C384" s="17" t="s">
        <v>284</v>
      </c>
      <c r="D384" s="17" t="s">
        <v>1721</v>
      </c>
      <c r="E384" s="18" t="s">
        <v>1722</v>
      </c>
      <c r="F384" s="18" t="s">
        <v>286</v>
      </c>
      <c r="G384" s="17" t="s">
        <v>282</v>
      </c>
      <c r="H384" s="19" t="s">
        <v>95</v>
      </c>
      <c r="I384" s="19"/>
      <c r="J384" s="20" t="str">
        <f t="shared" si="5"/>
        <v/>
      </c>
      <c r="K384" s="20" t="str">
        <f>IF(G384="","",IF(COUNTIF('01_rules'!$A$2:$A$39,G384)=0,"rule 없음",""))</f>
        <v/>
      </c>
      <c r="L384" s="20" t="str">
        <f>IF(G384="","",IF(ISNUMBER(SEARCH(G384,IFERROR(VLOOKUP(C384,'03_units'!$B$2:$F$21,5,FALSE()),""))),"","unit 불일치"))</f>
        <v/>
      </c>
    </row>
    <row r="385" spans="1:12" ht="15" customHeight="1">
      <c r="A385" s="17" t="s">
        <v>1723</v>
      </c>
      <c r="B385" s="17">
        <v>3</v>
      </c>
      <c r="C385" s="17" t="s">
        <v>284</v>
      </c>
      <c r="D385" s="17" t="s">
        <v>1724</v>
      </c>
      <c r="E385" s="18" t="s">
        <v>1725</v>
      </c>
      <c r="F385" s="18" t="s">
        <v>286</v>
      </c>
      <c r="G385" s="17" t="s">
        <v>282</v>
      </c>
      <c r="H385" s="19" t="s">
        <v>95</v>
      </c>
      <c r="I385" s="19"/>
      <c r="J385" s="20" t="str">
        <f t="shared" si="5"/>
        <v/>
      </c>
      <c r="K385" s="20" t="str">
        <f>IF(G385="","",IF(COUNTIF('01_rules'!$A$2:$A$39,G385)=0,"rule 없음",""))</f>
        <v/>
      </c>
      <c r="L385" s="20" t="str">
        <f>IF(G385="","",IF(ISNUMBER(SEARCH(G385,IFERROR(VLOOKUP(C385,'03_units'!$B$2:$F$21,5,FALSE()),""))),"","unit 불일치"))</f>
        <v/>
      </c>
    </row>
    <row r="386" spans="1:12" ht="15" customHeight="1">
      <c r="A386" s="17" t="s">
        <v>1726</v>
      </c>
      <c r="B386" s="17">
        <v>3</v>
      </c>
      <c r="C386" s="17" t="s">
        <v>284</v>
      </c>
      <c r="D386" s="17" t="s">
        <v>1727</v>
      </c>
      <c r="E386" s="18" t="s">
        <v>1728</v>
      </c>
      <c r="F386" s="18" t="s">
        <v>286</v>
      </c>
      <c r="G386" s="17" t="s">
        <v>282</v>
      </c>
      <c r="H386" s="19" t="s">
        <v>95</v>
      </c>
      <c r="I386" s="19"/>
      <c r="J386" s="20" t="str">
        <f t="shared" ref="J386:J401" si="6">IF(A386="","",IF(COUNTIF($A$2:$A$401,A386)&gt;1,"중복",""))</f>
        <v/>
      </c>
      <c r="K386" s="20" t="str">
        <f>IF(G386="","",IF(COUNTIF('01_rules'!$A$2:$A$39,G386)=0,"rule 없음",""))</f>
        <v/>
      </c>
      <c r="L386" s="20" t="str">
        <f>IF(G386="","",IF(ISNUMBER(SEARCH(G386,IFERROR(VLOOKUP(C386,'03_units'!$B$2:$F$21,5,FALSE()),""))),"","unit 불일치"))</f>
        <v/>
      </c>
    </row>
    <row r="387" spans="1:12" ht="15" customHeight="1">
      <c r="A387" s="17" t="s">
        <v>1729</v>
      </c>
      <c r="B387" s="17">
        <v>4</v>
      </c>
      <c r="C387" s="17" t="s">
        <v>284</v>
      </c>
      <c r="D387" s="17" t="s">
        <v>1730</v>
      </c>
      <c r="E387" s="18" t="s">
        <v>1731</v>
      </c>
      <c r="F387" s="18" t="s">
        <v>336</v>
      </c>
      <c r="G387" s="17" t="s">
        <v>334</v>
      </c>
      <c r="H387" s="19" t="s">
        <v>95</v>
      </c>
      <c r="I387" s="19"/>
      <c r="J387" s="20" t="str">
        <f t="shared" si="6"/>
        <v/>
      </c>
      <c r="K387" s="20" t="str">
        <f>IF(G387="","",IF(COUNTIF('01_rules'!$A$2:$A$39,G387)=0,"rule 없음",""))</f>
        <v/>
      </c>
      <c r="L387" s="20" t="str">
        <f>IF(G387="","",IF(ISNUMBER(SEARCH(G387,IFERROR(VLOOKUP(C387,'03_units'!$B$2:$F$21,5,FALSE()),""))),"","unit 불일치"))</f>
        <v/>
      </c>
    </row>
    <row r="388" spans="1:12" ht="15" customHeight="1">
      <c r="A388" s="17" t="s">
        <v>1732</v>
      </c>
      <c r="B388" s="17">
        <v>4</v>
      </c>
      <c r="C388" s="17" t="s">
        <v>284</v>
      </c>
      <c r="D388" s="17" t="s">
        <v>1733</v>
      </c>
      <c r="E388" s="18" t="s">
        <v>1734</v>
      </c>
      <c r="F388" s="18" t="s">
        <v>336</v>
      </c>
      <c r="G388" s="17" t="s">
        <v>334</v>
      </c>
      <c r="H388" s="19" t="s">
        <v>95</v>
      </c>
      <c r="I388" s="19"/>
      <c r="J388" s="20" t="str">
        <f t="shared" si="6"/>
        <v/>
      </c>
      <c r="K388" s="20" t="str">
        <f>IF(G388="","",IF(COUNTIF('01_rules'!$A$2:$A$39,G388)=0,"rule 없음",""))</f>
        <v/>
      </c>
      <c r="L388" s="20" t="str">
        <f>IF(G388="","",IF(ISNUMBER(SEARCH(G388,IFERROR(VLOOKUP(C388,'03_units'!$B$2:$F$21,5,FALSE()),""))),"","unit 불일치"))</f>
        <v/>
      </c>
    </row>
    <row r="389" spans="1:12" ht="23.25" customHeight="1">
      <c r="A389" s="17" t="s">
        <v>1735</v>
      </c>
      <c r="B389" s="17">
        <v>4</v>
      </c>
      <c r="C389" s="17" t="s">
        <v>284</v>
      </c>
      <c r="D389" s="17" t="s">
        <v>1736</v>
      </c>
      <c r="E389" s="18" t="s">
        <v>1737</v>
      </c>
      <c r="F389" s="18" t="s">
        <v>336</v>
      </c>
      <c r="G389" s="17" t="s">
        <v>334</v>
      </c>
      <c r="H389" s="19" t="s">
        <v>95</v>
      </c>
      <c r="I389" s="19"/>
      <c r="J389" s="20" t="str">
        <f t="shared" si="6"/>
        <v/>
      </c>
      <c r="K389" s="20" t="str">
        <f>IF(G389="","",IF(COUNTIF('01_rules'!$A$2:$A$39,G389)=0,"rule 없음",""))</f>
        <v/>
      </c>
      <c r="L389" s="20" t="str">
        <f>IF(G389="","",IF(ISNUMBER(SEARCH(G389,IFERROR(VLOOKUP(C389,'03_units'!$B$2:$F$21,5,FALSE()),""))),"","unit 불일치"))</f>
        <v/>
      </c>
    </row>
    <row r="390" spans="1:12" ht="15" customHeight="1">
      <c r="A390" s="17" t="s">
        <v>1738</v>
      </c>
      <c r="B390" s="17">
        <v>4</v>
      </c>
      <c r="C390" s="17" t="s">
        <v>284</v>
      </c>
      <c r="D390" s="17" t="s">
        <v>1739</v>
      </c>
      <c r="E390" s="18" t="s">
        <v>1740</v>
      </c>
      <c r="F390" s="18" t="s">
        <v>336</v>
      </c>
      <c r="G390" s="17" t="s">
        <v>334</v>
      </c>
      <c r="H390" s="19" t="s">
        <v>95</v>
      </c>
      <c r="I390" s="19"/>
      <c r="J390" s="20" t="str">
        <f t="shared" si="6"/>
        <v/>
      </c>
      <c r="K390" s="20" t="str">
        <f>IF(G390="","",IF(COUNTIF('01_rules'!$A$2:$A$39,G390)=0,"rule 없음",""))</f>
        <v/>
      </c>
      <c r="L390" s="20" t="str">
        <f>IF(G390="","",IF(ISNUMBER(SEARCH(G390,IFERROR(VLOOKUP(C390,'03_units'!$B$2:$F$21,5,FALSE()),""))),"","unit 불일치"))</f>
        <v/>
      </c>
    </row>
    <row r="391" spans="1:12" ht="15" customHeight="1">
      <c r="A391" s="17" t="s">
        <v>1741</v>
      </c>
      <c r="B391" s="17">
        <v>4</v>
      </c>
      <c r="C391" s="17" t="s">
        <v>284</v>
      </c>
      <c r="D391" s="17" t="s">
        <v>1742</v>
      </c>
      <c r="E391" s="18" t="s">
        <v>1743</v>
      </c>
      <c r="F391" s="18" t="s">
        <v>336</v>
      </c>
      <c r="G391" s="17" t="s">
        <v>334</v>
      </c>
      <c r="H391" s="19" t="s">
        <v>95</v>
      </c>
      <c r="I391" s="19"/>
      <c r="J391" s="20" t="str">
        <f t="shared" si="6"/>
        <v/>
      </c>
      <c r="K391" s="20" t="str">
        <f>IF(G391="","",IF(COUNTIF('01_rules'!$A$2:$A$39,G391)=0,"rule 없음",""))</f>
        <v/>
      </c>
      <c r="L391" s="20" t="str">
        <f>IF(G391="","",IF(ISNUMBER(SEARCH(G391,IFERROR(VLOOKUP(C391,'03_units'!$B$2:$F$21,5,FALSE()),""))),"","unit 불일치"))</f>
        <v/>
      </c>
    </row>
    <row r="392" spans="1:12" ht="15" customHeight="1">
      <c r="A392" s="17" t="s">
        <v>1744</v>
      </c>
      <c r="B392" s="17">
        <v>5</v>
      </c>
      <c r="C392" s="17" t="s">
        <v>284</v>
      </c>
      <c r="D392" s="17" t="s">
        <v>1745</v>
      </c>
      <c r="E392" s="18" t="s">
        <v>1746</v>
      </c>
      <c r="F392" s="18" t="s">
        <v>145</v>
      </c>
      <c r="G392" s="17" t="s">
        <v>141</v>
      </c>
      <c r="H392" s="19" t="s">
        <v>95</v>
      </c>
      <c r="I392" s="19"/>
      <c r="J392" s="20" t="str">
        <f t="shared" si="6"/>
        <v/>
      </c>
      <c r="K392" s="20" t="str">
        <f>IF(G392="","",IF(COUNTIF('01_rules'!$A$2:$A$39,G392)=0,"rule 없음",""))</f>
        <v/>
      </c>
      <c r="L392" s="20" t="str">
        <f>IF(G392="","",IF(ISNUMBER(SEARCH(G392,IFERROR(VLOOKUP(C392,'03_units'!$B$2:$F$21,5,FALSE()),""))),"","unit 불일치"))</f>
        <v/>
      </c>
    </row>
    <row r="393" spans="1:12" ht="15" customHeight="1">
      <c r="A393" s="17" t="s">
        <v>1747</v>
      </c>
      <c r="B393" s="17">
        <v>5</v>
      </c>
      <c r="C393" s="17" t="s">
        <v>284</v>
      </c>
      <c r="D393" s="17" t="s">
        <v>1748</v>
      </c>
      <c r="E393" s="18" t="s">
        <v>1749</v>
      </c>
      <c r="F393" s="18" t="s">
        <v>286</v>
      </c>
      <c r="G393" s="17" t="s">
        <v>282</v>
      </c>
      <c r="H393" s="19" t="s">
        <v>95</v>
      </c>
      <c r="I393" s="19"/>
      <c r="J393" s="20" t="str">
        <f t="shared" si="6"/>
        <v/>
      </c>
      <c r="K393" s="20" t="str">
        <f>IF(G393="","",IF(COUNTIF('01_rules'!$A$2:$A$39,G393)=0,"rule 없음",""))</f>
        <v/>
      </c>
      <c r="L393" s="20" t="str">
        <f>IF(G393="","",IF(ISNUMBER(SEARCH(G393,IFERROR(VLOOKUP(C393,'03_units'!$B$2:$F$21,5,FALSE()),""))),"","unit 불일치"))</f>
        <v/>
      </c>
    </row>
    <row r="394" spans="1:12" ht="15" customHeight="1">
      <c r="A394" s="17" t="s">
        <v>1750</v>
      </c>
      <c r="B394" s="17">
        <v>5</v>
      </c>
      <c r="C394" s="17" t="s">
        <v>284</v>
      </c>
      <c r="D394" s="17" t="s">
        <v>1751</v>
      </c>
      <c r="E394" s="18" t="s">
        <v>1752</v>
      </c>
      <c r="F394" s="18" t="s">
        <v>286</v>
      </c>
      <c r="G394" s="17" t="s">
        <v>282</v>
      </c>
      <c r="H394" s="19" t="s">
        <v>95</v>
      </c>
      <c r="I394" s="19"/>
      <c r="J394" s="20" t="str">
        <f t="shared" si="6"/>
        <v/>
      </c>
      <c r="K394" s="20" t="str">
        <f>IF(G394="","",IF(COUNTIF('01_rules'!$A$2:$A$39,G394)=0,"rule 없음",""))</f>
        <v/>
      </c>
      <c r="L394" s="20" t="str">
        <f>IF(G394="","",IF(ISNUMBER(SEARCH(G394,IFERROR(VLOOKUP(C394,'03_units'!$B$2:$F$21,5,FALSE()),""))),"","unit 불일치"))</f>
        <v/>
      </c>
    </row>
    <row r="395" spans="1:12" ht="15" customHeight="1">
      <c r="A395" s="17" t="s">
        <v>1753</v>
      </c>
      <c r="B395" s="17">
        <v>5</v>
      </c>
      <c r="C395" s="17" t="s">
        <v>284</v>
      </c>
      <c r="D395" s="17" t="s">
        <v>1754</v>
      </c>
      <c r="E395" s="18" t="s">
        <v>1755</v>
      </c>
      <c r="F395" s="18" t="s">
        <v>286</v>
      </c>
      <c r="G395" s="17" t="s">
        <v>282</v>
      </c>
      <c r="H395" s="19" t="s">
        <v>95</v>
      </c>
      <c r="I395" s="19"/>
      <c r="J395" s="20" t="str">
        <f t="shared" si="6"/>
        <v/>
      </c>
      <c r="K395" s="20" t="str">
        <f>IF(G395="","",IF(COUNTIF('01_rules'!$A$2:$A$39,G395)=0,"rule 없음",""))</f>
        <v/>
      </c>
      <c r="L395" s="20" t="str">
        <f>IF(G395="","",IF(ISNUMBER(SEARCH(G395,IFERROR(VLOOKUP(C395,'03_units'!$B$2:$F$21,5,FALSE()),""))),"","unit 불일치"))</f>
        <v/>
      </c>
    </row>
    <row r="396" spans="1:12" ht="15" customHeight="1">
      <c r="A396" s="17" t="s">
        <v>1756</v>
      </c>
      <c r="B396" s="17">
        <v>5</v>
      </c>
      <c r="C396" s="17" t="s">
        <v>284</v>
      </c>
      <c r="D396" s="17" t="s">
        <v>1757</v>
      </c>
      <c r="E396" s="18" t="s">
        <v>1758</v>
      </c>
      <c r="F396" s="18" t="s">
        <v>286</v>
      </c>
      <c r="G396" s="17" t="s">
        <v>282</v>
      </c>
      <c r="H396" s="19" t="s">
        <v>95</v>
      </c>
      <c r="I396" s="19"/>
      <c r="J396" s="20" t="str">
        <f t="shared" si="6"/>
        <v/>
      </c>
      <c r="K396" s="20" t="str">
        <f>IF(G396="","",IF(COUNTIF('01_rules'!$A$2:$A$39,G396)=0,"rule 없음",""))</f>
        <v/>
      </c>
      <c r="L396" s="20" t="str">
        <f>IF(G396="","",IF(ISNUMBER(SEARCH(G396,IFERROR(VLOOKUP(C396,'03_units'!$B$2:$F$21,5,FALSE()),""))),"","unit 불일치"))</f>
        <v/>
      </c>
    </row>
    <row r="397" spans="1:12" ht="15" customHeight="1">
      <c r="A397" s="17" t="s">
        <v>1759</v>
      </c>
      <c r="B397" s="17">
        <v>6</v>
      </c>
      <c r="C397" s="17" t="s">
        <v>284</v>
      </c>
      <c r="D397" s="17" t="s">
        <v>1760</v>
      </c>
      <c r="E397" s="18" t="s">
        <v>1761</v>
      </c>
      <c r="F397" s="18" t="s">
        <v>336</v>
      </c>
      <c r="G397" s="17" t="s">
        <v>334</v>
      </c>
      <c r="H397" s="19" t="s">
        <v>95</v>
      </c>
      <c r="I397" s="19"/>
      <c r="J397" s="20" t="str">
        <f t="shared" si="6"/>
        <v/>
      </c>
      <c r="K397" s="20" t="str">
        <f>IF(G397="","",IF(COUNTIF('01_rules'!$A$2:$A$39,G397)=0,"rule 없음",""))</f>
        <v/>
      </c>
      <c r="L397" s="20" t="str">
        <f>IF(G397="","",IF(ISNUMBER(SEARCH(G397,IFERROR(VLOOKUP(C397,'03_units'!$B$2:$F$21,5,FALSE()),""))),"","unit 불일치"))</f>
        <v/>
      </c>
    </row>
    <row r="398" spans="1:12" ht="15" customHeight="1">
      <c r="A398" s="17" t="s">
        <v>1762</v>
      </c>
      <c r="B398" s="17">
        <v>6</v>
      </c>
      <c r="C398" s="17" t="s">
        <v>284</v>
      </c>
      <c r="D398" s="17" t="s">
        <v>1763</v>
      </c>
      <c r="E398" s="18" t="s">
        <v>1764</v>
      </c>
      <c r="F398" s="18" t="s">
        <v>145</v>
      </c>
      <c r="G398" s="17" t="s">
        <v>141</v>
      </c>
      <c r="H398" s="19" t="s">
        <v>95</v>
      </c>
      <c r="I398" s="19"/>
      <c r="J398" s="20" t="str">
        <f t="shared" si="6"/>
        <v/>
      </c>
      <c r="K398" s="20" t="str">
        <f>IF(G398="","",IF(COUNTIF('01_rules'!$A$2:$A$39,G398)=0,"rule 없음",""))</f>
        <v/>
      </c>
      <c r="L398" s="20" t="str">
        <f>IF(G398="","",IF(ISNUMBER(SEARCH(G398,IFERROR(VLOOKUP(C398,'03_units'!$B$2:$F$21,5,FALSE()),""))),"","unit 불일치"))</f>
        <v/>
      </c>
    </row>
    <row r="399" spans="1:12" ht="15" customHeight="1">
      <c r="A399" s="17" t="s">
        <v>1765</v>
      </c>
      <c r="B399" s="17">
        <v>6</v>
      </c>
      <c r="C399" s="17" t="s">
        <v>284</v>
      </c>
      <c r="D399" s="17" t="s">
        <v>1766</v>
      </c>
      <c r="E399" s="18" t="s">
        <v>1767</v>
      </c>
      <c r="F399" s="18" t="s">
        <v>336</v>
      </c>
      <c r="G399" s="17" t="s">
        <v>334</v>
      </c>
      <c r="H399" s="19" t="s">
        <v>95</v>
      </c>
      <c r="I399" s="19"/>
      <c r="J399" s="20" t="str">
        <f t="shared" si="6"/>
        <v/>
      </c>
      <c r="K399" s="20" t="str">
        <f>IF(G399="","",IF(COUNTIF('01_rules'!$A$2:$A$39,G399)=0,"rule 없음",""))</f>
        <v/>
      </c>
      <c r="L399" s="20" t="str">
        <f>IF(G399="","",IF(ISNUMBER(SEARCH(G399,IFERROR(VLOOKUP(C399,'03_units'!$B$2:$F$21,5,FALSE()),""))),"","unit 불일치"))</f>
        <v/>
      </c>
    </row>
    <row r="400" spans="1:12" ht="15" customHeight="1">
      <c r="A400" s="17" t="s">
        <v>1768</v>
      </c>
      <c r="B400" s="17">
        <v>6</v>
      </c>
      <c r="C400" s="17" t="s">
        <v>284</v>
      </c>
      <c r="D400" s="17" t="s">
        <v>1769</v>
      </c>
      <c r="E400" s="18" t="s">
        <v>1770</v>
      </c>
      <c r="F400" s="18" t="s">
        <v>313</v>
      </c>
      <c r="G400" s="17" t="s">
        <v>310</v>
      </c>
      <c r="H400" s="19" t="s">
        <v>95</v>
      </c>
      <c r="I400" s="19"/>
      <c r="J400" s="20" t="str">
        <f t="shared" si="6"/>
        <v/>
      </c>
      <c r="K400" s="20" t="str">
        <f>IF(G400="","",IF(COUNTIF('01_rules'!$A$2:$A$39,G400)=0,"rule 없음",""))</f>
        <v/>
      </c>
      <c r="L400" s="20" t="str">
        <f>IF(G400="","",IF(ISNUMBER(SEARCH(G400,IFERROR(VLOOKUP(C400,'03_units'!$B$2:$F$21,5,FALSE()),""))),"","unit 불일치"))</f>
        <v/>
      </c>
    </row>
    <row r="401" spans="1:12" ht="15" customHeight="1">
      <c r="A401" s="17" t="s">
        <v>1771</v>
      </c>
      <c r="B401" s="17">
        <v>6</v>
      </c>
      <c r="C401" s="17" t="s">
        <v>284</v>
      </c>
      <c r="D401" s="17" t="s">
        <v>1772</v>
      </c>
      <c r="E401" s="18" t="s">
        <v>1773</v>
      </c>
      <c r="F401" s="18" t="s">
        <v>91</v>
      </c>
      <c r="G401" s="17" t="s">
        <v>87</v>
      </c>
      <c r="H401" s="19" t="s">
        <v>95</v>
      </c>
      <c r="I401" s="19"/>
      <c r="J401" s="20" t="str">
        <f t="shared" si="6"/>
        <v/>
      </c>
      <c r="K401" s="20" t="str">
        <f>IF(G401="","",IF(COUNTIF('01_rules'!$A$2:$A$39,G401)=0,"rule 없음",""))</f>
        <v/>
      </c>
      <c r="L401" s="20" t="str">
        <f>IF(G401="","",IF(ISNUMBER(SEARCH(G401,IFERROR(VLOOKUP(C401,'03_units'!$B$2:$F$21,5,FALSE()),""))),"","unit 불일치"))</f>
        <v/>
      </c>
    </row>
    <row r="402" spans="1:12" ht="23.25" customHeight="1">
      <c r="A402" s="17"/>
      <c r="B402" s="17"/>
      <c r="C402" s="17"/>
      <c r="D402" s="17"/>
      <c r="E402" s="18"/>
      <c r="F402" s="18"/>
      <c r="G402" s="17"/>
      <c r="H402" s="19"/>
      <c r="I402" s="19"/>
      <c r="J402" s="20"/>
      <c r="K402" s="20"/>
      <c r="L402" s="20"/>
    </row>
    <row r="403" spans="1:12" ht="29.25" customHeight="1">
      <c r="A403" s="17"/>
      <c r="B403" s="17"/>
      <c r="C403" s="17"/>
      <c r="D403" s="17"/>
      <c r="E403" s="18"/>
      <c r="F403" s="18"/>
      <c r="G403" s="17"/>
      <c r="H403" s="19"/>
      <c r="I403" s="19"/>
      <c r="J403" s="20"/>
      <c r="K403" s="20"/>
      <c r="L403" s="20"/>
    </row>
    <row r="404" spans="1:12" ht="15" customHeight="1">
      <c r="A404" s="2" t="s">
        <v>1774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1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1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15" customHeight="1">
      <c r="A407" s="17"/>
      <c r="B407" s="17"/>
      <c r="C407" s="17"/>
      <c r="D407" s="17"/>
      <c r="E407" s="18"/>
      <c r="F407" s="18"/>
      <c r="G407" s="17"/>
      <c r="H407" s="19"/>
      <c r="I407" s="19"/>
      <c r="J407" s="20"/>
      <c r="K407" s="20"/>
      <c r="L407" s="20"/>
    </row>
    <row r="408" spans="1:12" ht="23.25" customHeight="1">
      <c r="A408" s="17"/>
      <c r="B408" s="17"/>
      <c r="C408" s="17"/>
      <c r="D408" s="17"/>
      <c r="E408" s="18"/>
      <c r="F408" s="18"/>
      <c r="G408" s="17"/>
      <c r="H408" s="19"/>
      <c r="I408" s="19"/>
      <c r="J408" s="20"/>
      <c r="K408" s="20"/>
      <c r="L408" s="20"/>
    </row>
    <row r="411" spans="1:12" ht="14.25" customHeight="1">
      <c r="A411" s="22"/>
    </row>
    <row r="412" spans="1:12" ht="14.25" customHeight="1"/>
    <row r="413" spans="1:12" ht="14.25" customHeight="1"/>
  </sheetData>
  <mergeCells count="1">
    <mergeCell ref="A404:L406"/>
  </mergeCells>
  <phoneticPr fontId="16" type="noConversion"/>
  <conditionalFormatting sqref="J2:L31">
    <cfRule type="expression" dxfId="3" priority="2">
      <formula>AND(J2&lt;&gt;"",J2&lt;&gt;"OK")</formula>
    </cfRule>
  </conditionalFormatting>
  <dataValidations count="1">
    <dataValidation type="list" allowBlank="1" sqref="H2:H31" xr:uid="{00000000-0002-0000-0400-000000000000}">
      <formula1>"미검수,확인,수정필요"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05"/>
  <sheetViews>
    <sheetView zoomScaleNormal="100" workbookViewId="0">
      <pane ySplit="1" topLeftCell="A17" activePane="bottomLeft" state="frozen"/>
      <selection pane="bottomLeft" activeCell="E22" sqref="E22"/>
    </sheetView>
  </sheetViews>
  <sheetFormatPr defaultColWidth="8.6640625" defaultRowHeight="14.4"/>
  <cols>
    <col min="1" max="1" width="9" customWidth="1"/>
    <col min="2" max="2" width="7" customWidth="1"/>
    <col min="3" max="3" width="8" customWidth="1"/>
    <col min="4" max="4" width="12" customWidth="1"/>
    <col min="5" max="5" width="27.5546875" customWidth="1"/>
    <col min="6" max="6" width="26" customWidth="1"/>
    <col min="7" max="7" width="12" customWidth="1"/>
    <col min="8" max="8" width="11" customWidth="1"/>
    <col min="9" max="9" width="26.109375" customWidth="1"/>
    <col min="10" max="10" width="11" customWidth="1"/>
    <col min="11" max="11" width="26" customWidth="1"/>
    <col min="12" max="13" width="11" customWidth="1"/>
  </cols>
  <sheetData>
    <row r="1" spans="1:13" ht="31.5" customHeight="1">
      <c r="A1" s="14" t="s">
        <v>72</v>
      </c>
      <c r="B1" s="14" t="s">
        <v>486</v>
      </c>
      <c r="C1" s="14" t="s">
        <v>74</v>
      </c>
      <c r="D1" s="14" t="s">
        <v>1775</v>
      </c>
      <c r="E1" s="14" t="s">
        <v>573</v>
      </c>
      <c r="F1" s="14" t="s">
        <v>1776</v>
      </c>
      <c r="G1" s="23" t="s">
        <v>1777</v>
      </c>
      <c r="H1" s="23" t="s">
        <v>1778</v>
      </c>
      <c r="I1" s="15" t="s">
        <v>79</v>
      </c>
      <c r="J1" s="15" t="s">
        <v>80</v>
      </c>
      <c r="K1" s="15" t="s">
        <v>82</v>
      </c>
      <c r="L1" s="16" t="s">
        <v>83</v>
      </c>
      <c r="M1" s="16" t="s">
        <v>1779</v>
      </c>
    </row>
    <row r="2" spans="1:13" ht="15" customHeight="1">
      <c r="A2" s="17" t="s">
        <v>1780</v>
      </c>
      <c r="B2" s="17">
        <v>3</v>
      </c>
      <c r="C2" s="17" t="s">
        <v>89</v>
      </c>
      <c r="D2" s="17" t="s">
        <v>1781</v>
      </c>
      <c r="E2" s="18" t="s">
        <v>1782</v>
      </c>
      <c r="F2" s="17" t="s">
        <v>577</v>
      </c>
      <c r="G2" s="24"/>
      <c r="H2" s="24"/>
      <c r="I2" s="19" t="s">
        <v>1783</v>
      </c>
      <c r="J2" s="19" t="s">
        <v>95</v>
      </c>
      <c r="K2" s="24"/>
      <c r="L2" s="20" t="str">
        <f t="shared" ref="L2:L65" si="0">IF(A2="","",IF(COUNTIF($A$2:$A$401,A2)&gt;1,"중복",""))</f>
        <v/>
      </c>
      <c r="M2" s="21">
        <f t="shared" ref="M2:M65" si="1">IF(D2="","",LEN(D2))</f>
        <v>5</v>
      </c>
    </row>
    <row r="3" spans="1:13" ht="15" customHeight="1">
      <c r="A3" s="17" t="s">
        <v>1784</v>
      </c>
      <c r="B3" s="17">
        <v>3</v>
      </c>
      <c r="C3" s="17" t="s">
        <v>89</v>
      </c>
      <c r="D3" s="17" t="s">
        <v>1785</v>
      </c>
      <c r="E3" s="18" t="s">
        <v>1782</v>
      </c>
      <c r="F3" s="17" t="s">
        <v>580</v>
      </c>
      <c r="G3" s="24"/>
      <c r="H3" s="24"/>
      <c r="I3" s="19" t="s">
        <v>1783</v>
      </c>
      <c r="J3" s="19" t="s">
        <v>95</v>
      </c>
      <c r="K3" s="24"/>
      <c r="L3" s="20" t="str">
        <f t="shared" si="0"/>
        <v/>
      </c>
      <c r="M3" s="21">
        <f t="shared" si="1"/>
        <v>2</v>
      </c>
    </row>
    <row r="4" spans="1:13" ht="15" customHeight="1">
      <c r="A4" s="17" t="s">
        <v>1786</v>
      </c>
      <c r="B4" s="17">
        <v>3</v>
      </c>
      <c r="C4" s="17" t="s">
        <v>89</v>
      </c>
      <c r="D4" s="17" t="s">
        <v>1787</v>
      </c>
      <c r="E4" s="18" t="s">
        <v>1788</v>
      </c>
      <c r="F4" s="17" t="s">
        <v>1789</v>
      </c>
      <c r="G4" s="24"/>
      <c r="H4" s="24"/>
      <c r="I4" s="19" t="s">
        <v>1783</v>
      </c>
      <c r="J4" s="19" t="s">
        <v>95</v>
      </c>
      <c r="K4" s="24"/>
      <c r="L4" s="20" t="str">
        <f t="shared" si="0"/>
        <v/>
      </c>
      <c r="M4" s="21">
        <f t="shared" si="1"/>
        <v>3</v>
      </c>
    </row>
    <row r="5" spans="1:13" ht="15" customHeight="1">
      <c r="A5" s="17" t="s">
        <v>1790</v>
      </c>
      <c r="B5" s="17">
        <v>3</v>
      </c>
      <c r="C5" s="17" t="s">
        <v>89</v>
      </c>
      <c r="D5" s="17" t="s">
        <v>1791</v>
      </c>
      <c r="E5" s="18" t="s">
        <v>1792</v>
      </c>
      <c r="F5" s="17" t="s">
        <v>586</v>
      </c>
      <c r="G5" s="24"/>
      <c r="H5" s="24"/>
      <c r="I5" s="19" t="s">
        <v>1783</v>
      </c>
      <c r="J5" s="19" t="s">
        <v>95</v>
      </c>
      <c r="K5" s="24"/>
      <c r="L5" s="20" t="str">
        <f t="shared" si="0"/>
        <v/>
      </c>
      <c r="M5" s="21">
        <f t="shared" si="1"/>
        <v>7</v>
      </c>
    </row>
    <row r="6" spans="1:13" ht="15" customHeight="1">
      <c r="A6" s="17" t="s">
        <v>1793</v>
      </c>
      <c r="B6" s="17">
        <v>3</v>
      </c>
      <c r="C6" s="17" t="s">
        <v>89</v>
      </c>
      <c r="D6" s="17" t="s">
        <v>1794</v>
      </c>
      <c r="E6" s="18" t="s">
        <v>1795</v>
      </c>
      <c r="F6" s="17" t="s">
        <v>589</v>
      </c>
      <c r="G6" s="24"/>
      <c r="H6" s="24"/>
      <c r="I6" s="19" t="s">
        <v>1783</v>
      </c>
      <c r="J6" s="19" t="s">
        <v>95</v>
      </c>
      <c r="K6" s="24"/>
      <c r="L6" s="20" t="str">
        <f t="shared" si="0"/>
        <v/>
      </c>
      <c r="M6" s="21">
        <f t="shared" si="1"/>
        <v>5</v>
      </c>
    </row>
    <row r="7" spans="1:13" ht="15" customHeight="1">
      <c r="A7" s="17" t="s">
        <v>1796</v>
      </c>
      <c r="B7" s="17">
        <v>4</v>
      </c>
      <c r="C7" s="17" t="s">
        <v>89</v>
      </c>
      <c r="D7" s="17" t="s">
        <v>1797</v>
      </c>
      <c r="E7" s="18" t="s">
        <v>1798</v>
      </c>
      <c r="F7" s="17" t="s">
        <v>592</v>
      </c>
      <c r="G7" s="24"/>
      <c r="H7" s="24"/>
      <c r="I7" s="19" t="s">
        <v>1783</v>
      </c>
      <c r="J7" s="19" t="s">
        <v>95</v>
      </c>
      <c r="K7" s="24"/>
      <c r="L7" s="20" t="str">
        <f t="shared" si="0"/>
        <v/>
      </c>
      <c r="M7" s="21">
        <f t="shared" si="1"/>
        <v>7</v>
      </c>
    </row>
    <row r="8" spans="1:13" ht="15" customHeight="1">
      <c r="A8" s="17" t="s">
        <v>1799</v>
      </c>
      <c r="B8" s="17">
        <v>4</v>
      </c>
      <c r="C8" s="17" t="s">
        <v>89</v>
      </c>
      <c r="D8" s="17" t="s">
        <v>1800</v>
      </c>
      <c r="E8" s="18" t="s">
        <v>1801</v>
      </c>
      <c r="F8" s="17" t="s">
        <v>1802</v>
      </c>
      <c r="G8" s="24"/>
      <c r="H8" s="24"/>
      <c r="I8" s="19" t="s">
        <v>1783</v>
      </c>
      <c r="J8" s="19" t="s">
        <v>95</v>
      </c>
      <c r="K8" s="24"/>
      <c r="L8" s="20" t="str">
        <f t="shared" si="0"/>
        <v/>
      </c>
      <c r="M8" s="21">
        <f t="shared" si="1"/>
        <v>6</v>
      </c>
    </row>
    <row r="9" spans="1:13" ht="15" customHeight="1">
      <c r="A9" s="17" t="s">
        <v>1803</v>
      </c>
      <c r="B9" s="17">
        <v>4</v>
      </c>
      <c r="C9" s="17" t="s">
        <v>89</v>
      </c>
      <c r="D9" s="17" t="s">
        <v>1804</v>
      </c>
      <c r="E9" s="18" t="s">
        <v>1805</v>
      </c>
      <c r="F9" s="17" t="s">
        <v>598</v>
      </c>
      <c r="G9" s="24"/>
      <c r="H9" s="24"/>
      <c r="I9" s="19" t="s">
        <v>1783</v>
      </c>
      <c r="J9" s="19" t="s">
        <v>95</v>
      </c>
      <c r="K9" s="24"/>
      <c r="L9" s="20" t="str">
        <f t="shared" si="0"/>
        <v/>
      </c>
      <c r="M9" s="21">
        <f t="shared" si="1"/>
        <v>5</v>
      </c>
    </row>
    <row r="10" spans="1:13" ht="15" customHeight="1">
      <c r="A10" s="17" t="s">
        <v>1806</v>
      </c>
      <c r="B10" s="17">
        <v>4</v>
      </c>
      <c r="C10" s="17" t="s">
        <v>89</v>
      </c>
      <c r="D10" s="17" t="s">
        <v>1807</v>
      </c>
      <c r="E10" s="18" t="s">
        <v>1808</v>
      </c>
      <c r="F10" s="17" t="s">
        <v>1809</v>
      </c>
      <c r="G10" s="24"/>
      <c r="H10" s="24"/>
      <c r="I10" s="19" t="s">
        <v>1783</v>
      </c>
      <c r="J10" s="19" t="s">
        <v>95</v>
      </c>
      <c r="K10" s="24"/>
      <c r="L10" s="20" t="str">
        <f t="shared" si="0"/>
        <v/>
      </c>
      <c r="M10" s="21">
        <f t="shared" si="1"/>
        <v>6</v>
      </c>
    </row>
    <row r="11" spans="1:13" ht="15" customHeight="1">
      <c r="A11" s="17" t="s">
        <v>1810</v>
      </c>
      <c r="B11" s="17">
        <v>4</v>
      </c>
      <c r="C11" s="17" t="s">
        <v>89</v>
      </c>
      <c r="D11" s="17" t="s">
        <v>1811</v>
      </c>
      <c r="E11" s="18" t="s">
        <v>1812</v>
      </c>
      <c r="F11" s="17" t="s">
        <v>1813</v>
      </c>
      <c r="G11" s="24"/>
      <c r="H11" s="24"/>
      <c r="I11" s="19" t="s">
        <v>1783</v>
      </c>
      <c r="J11" s="19" t="s">
        <v>95</v>
      </c>
      <c r="K11" s="24"/>
      <c r="L11" s="20" t="str">
        <f t="shared" si="0"/>
        <v/>
      </c>
      <c r="M11" s="21">
        <f t="shared" si="1"/>
        <v>7</v>
      </c>
    </row>
    <row r="12" spans="1:13" ht="15" customHeight="1">
      <c r="A12" s="17" t="s">
        <v>1814</v>
      </c>
      <c r="B12" s="17">
        <v>5</v>
      </c>
      <c r="C12" s="17" t="s">
        <v>89</v>
      </c>
      <c r="D12" s="17" t="s">
        <v>1815</v>
      </c>
      <c r="E12" s="18" t="s">
        <v>1816</v>
      </c>
      <c r="F12" s="17" t="s">
        <v>1817</v>
      </c>
      <c r="G12" s="24"/>
      <c r="H12" s="24"/>
      <c r="I12" s="19" t="s">
        <v>1783</v>
      </c>
      <c r="J12" s="19" t="s">
        <v>95</v>
      </c>
      <c r="K12" s="24"/>
      <c r="L12" s="20" t="str">
        <f t="shared" si="0"/>
        <v/>
      </c>
      <c r="M12" s="21">
        <f t="shared" si="1"/>
        <v>5</v>
      </c>
    </row>
    <row r="13" spans="1:13" ht="15" customHeight="1">
      <c r="A13" s="17" t="s">
        <v>1818</v>
      </c>
      <c r="B13" s="17">
        <v>5</v>
      </c>
      <c r="C13" s="17" t="s">
        <v>89</v>
      </c>
      <c r="D13" s="17" t="s">
        <v>1819</v>
      </c>
      <c r="E13" s="18" t="s">
        <v>1820</v>
      </c>
      <c r="F13" s="17" t="s">
        <v>1821</v>
      </c>
      <c r="G13" s="24"/>
      <c r="H13" s="24"/>
      <c r="I13" s="19" t="s">
        <v>1783</v>
      </c>
      <c r="J13" s="19" t="s">
        <v>95</v>
      </c>
      <c r="K13" s="24"/>
      <c r="L13" s="20" t="str">
        <f t="shared" si="0"/>
        <v/>
      </c>
      <c r="M13" s="21">
        <f t="shared" si="1"/>
        <v>9</v>
      </c>
    </row>
    <row r="14" spans="1:13" ht="15" customHeight="1">
      <c r="A14" s="17" t="s">
        <v>1822</v>
      </c>
      <c r="B14" s="17">
        <v>5</v>
      </c>
      <c r="C14" s="17" t="s">
        <v>89</v>
      </c>
      <c r="D14" s="17" t="s">
        <v>1823</v>
      </c>
      <c r="E14" s="18" t="s">
        <v>1824</v>
      </c>
      <c r="F14" s="17" t="s">
        <v>1825</v>
      </c>
      <c r="G14" s="24"/>
      <c r="H14" s="24"/>
      <c r="I14" s="19" t="s">
        <v>1783</v>
      </c>
      <c r="J14" s="19" t="s">
        <v>95</v>
      </c>
      <c r="K14" s="24"/>
      <c r="L14" s="20" t="str">
        <f t="shared" si="0"/>
        <v/>
      </c>
      <c r="M14" s="21">
        <f t="shared" si="1"/>
        <v>9</v>
      </c>
    </row>
    <row r="15" spans="1:13" ht="15" customHeight="1">
      <c r="A15" s="17" t="s">
        <v>1826</v>
      </c>
      <c r="B15" s="17">
        <v>5</v>
      </c>
      <c r="C15" s="17" t="s">
        <v>89</v>
      </c>
      <c r="D15" s="17" t="s">
        <v>1827</v>
      </c>
      <c r="E15" s="18" t="s">
        <v>1828</v>
      </c>
      <c r="F15" s="17" t="s">
        <v>1829</v>
      </c>
      <c r="G15" s="24"/>
      <c r="H15" s="24"/>
      <c r="I15" s="19" t="s">
        <v>1783</v>
      </c>
      <c r="J15" s="19" t="s">
        <v>95</v>
      </c>
      <c r="K15" s="24"/>
      <c r="L15" s="20" t="str">
        <f t="shared" si="0"/>
        <v/>
      </c>
      <c r="M15" s="21">
        <f t="shared" si="1"/>
        <v>5</v>
      </c>
    </row>
    <row r="16" spans="1:13" ht="15" customHeight="1">
      <c r="A16" s="17" t="s">
        <v>1830</v>
      </c>
      <c r="B16" s="17">
        <v>5</v>
      </c>
      <c r="C16" s="17" t="s">
        <v>89</v>
      </c>
      <c r="D16" s="17" t="s">
        <v>1831</v>
      </c>
      <c r="E16" s="18" t="s">
        <v>1832</v>
      </c>
      <c r="F16" s="17" t="s">
        <v>1833</v>
      </c>
      <c r="G16" s="24"/>
      <c r="H16" s="24"/>
      <c r="I16" s="19" t="s">
        <v>1783</v>
      </c>
      <c r="J16" s="19" t="s">
        <v>95</v>
      </c>
      <c r="K16" s="24"/>
      <c r="L16" s="20" t="str">
        <f t="shared" si="0"/>
        <v/>
      </c>
      <c r="M16" s="21">
        <f t="shared" si="1"/>
        <v>6</v>
      </c>
    </row>
    <row r="17" spans="1:13" ht="15" customHeight="1">
      <c r="A17" s="17" t="s">
        <v>1834</v>
      </c>
      <c r="B17" s="17">
        <v>6</v>
      </c>
      <c r="C17" s="17" t="s">
        <v>89</v>
      </c>
      <c r="D17" s="17" t="s">
        <v>1835</v>
      </c>
      <c r="E17" s="18" t="s">
        <v>1836</v>
      </c>
      <c r="F17" s="17" t="s">
        <v>1837</v>
      </c>
      <c r="G17" s="24"/>
      <c r="H17" s="24"/>
      <c r="I17" s="19" t="s">
        <v>1783</v>
      </c>
      <c r="J17" s="19" t="s">
        <v>95</v>
      </c>
      <c r="K17" s="24"/>
      <c r="L17" s="20" t="str">
        <f t="shared" si="0"/>
        <v/>
      </c>
      <c r="M17" s="21">
        <f t="shared" si="1"/>
        <v>10</v>
      </c>
    </row>
    <row r="18" spans="1:13" ht="15" customHeight="1">
      <c r="A18" s="17" t="s">
        <v>1838</v>
      </c>
      <c r="B18" s="17">
        <v>6</v>
      </c>
      <c r="C18" s="17" t="s">
        <v>89</v>
      </c>
      <c r="D18" s="17" t="s">
        <v>1839</v>
      </c>
      <c r="E18" s="18" t="s">
        <v>1840</v>
      </c>
      <c r="F18" s="17" t="s">
        <v>1841</v>
      </c>
      <c r="G18" s="24"/>
      <c r="H18" s="24"/>
      <c r="I18" s="19" t="s">
        <v>1783</v>
      </c>
      <c r="J18" s="19" t="s">
        <v>95</v>
      </c>
      <c r="K18" s="24"/>
      <c r="L18" s="20" t="str">
        <f t="shared" si="0"/>
        <v/>
      </c>
      <c r="M18" s="21">
        <f t="shared" si="1"/>
        <v>8</v>
      </c>
    </row>
    <row r="19" spans="1:13" ht="15" customHeight="1">
      <c r="A19" s="17" t="s">
        <v>1842</v>
      </c>
      <c r="B19" s="17">
        <v>6</v>
      </c>
      <c r="C19" s="17" t="s">
        <v>89</v>
      </c>
      <c r="D19" s="17" t="s">
        <v>1843</v>
      </c>
      <c r="E19" s="18" t="s">
        <v>1844</v>
      </c>
      <c r="F19" s="17" t="s">
        <v>1845</v>
      </c>
      <c r="G19" s="24"/>
      <c r="H19" s="24"/>
      <c r="I19" s="19" t="s">
        <v>1783</v>
      </c>
      <c r="J19" s="19" t="s">
        <v>95</v>
      </c>
      <c r="K19" s="24"/>
      <c r="L19" s="20" t="str">
        <f t="shared" si="0"/>
        <v/>
      </c>
      <c r="M19" s="21">
        <f t="shared" si="1"/>
        <v>8</v>
      </c>
    </row>
    <row r="20" spans="1:13" ht="15" customHeight="1">
      <c r="A20" s="17" t="s">
        <v>1846</v>
      </c>
      <c r="B20" s="17">
        <v>6</v>
      </c>
      <c r="C20" s="17" t="s">
        <v>89</v>
      </c>
      <c r="D20" s="17" t="s">
        <v>1847</v>
      </c>
      <c r="E20" s="18" t="s">
        <v>1848</v>
      </c>
      <c r="F20" s="17" t="s">
        <v>1849</v>
      </c>
      <c r="G20" s="24"/>
      <c r="H20" s="24"/>
      <c r="I20" s="19" t="s">
        <v>1783</v>
      </c>
      <c r="J20" s="19" t="s">
        <v>95</v>
      </c>
      <c r="K20" s="24"/>
      <c r="L20" s="20" t="str">
        <f t="shared" si="0"/>
        <v/>
      </c>
      <c r="M20" s="21">
        <f t="shared" si="1"/>
        <v>6</v>
      </c>
    </row>
    <row r="21" spans="1:13" ht="15" customHeight="1">
      <c r="A21" s="17" t="s">
        <v>1850</v>
      </c>
      <c r="B21" s="17">
        <v>6</v>
      </c>
      <c r="C21" s="17" t="s">
        <v>89</v>
      </c>
      <c r="D21" s="17" t="s">
        <v>1851</v>
      </c>
      <c r="E21" s="18" t="s">
        <v>1852</v>
      </c>
      <c r="F21" s="17" t="s">
        <v>1853</v>
      </c>
      <c r="G21" s="24"/>
      <c r="H21" s="24"/>
      <c r="I21" s="19" t="s">
        <v>1783</v>
      </c>
      <c r="J21" s="19" t="s">
        <v>95</v>
      </c>
      <c r="K21" s="24"/>
      <c r="L21" s="20" t="str">
        <f t="shared" si="0"/>
        <v/>
      </c>
      <c r="M21" s="21">
        <f t="shared" si="1"/>
        <v>6</v>
      </c>
    </row>
    <row r="22" spans="1:13" ht="15" customHeight="1">
      <c r="A22" s="17" t="s">
        <v>1854</v>
      </c>
      <c r="B22" s="17">
        <v>3</v>
      </c>
      <c r="C22" s="17" t="s">
        <v>104</v>
      </c>
      <c r="D22" s="17" t="s">
        <v>1855</v>
      </c>
      <c r="E22" s="18" t="s">
        <v>1856</v>
      </c>
      <c r="F22" s="17" t="s">
        <v>1857</v>
      </c>
      <c r="G22" s="24"/>
      <c r="H22" s="24"/>
      <c r="I22" s="19" t="s">
        <v>1783</v>
      </c>
      <c r="J22" s="19" t="s">
        <v>95</v>
      </c>
      <c r="K22" s="24"/>
      <c r="L22" s="20" t="str">
        <f t="shared" si="0"/>
        <v/>
      </c>
      <c r="M22" s="21">
        <f t="shared" si="1"/>
        <v>3</v>
      </c>
    </row>
    <row r="23" spans="1:13" ht="15" customHeight="1">
      <c r="A23" s="17" t="s">
        <v>1858</v>
      </c>
      <c r="B23" s="17">
        <v>3</v>
      </c>
      <c r="C23" s="17" t="s">
        <v>104</v>
      </c>
      <c r="D23" s="17" t="s">
        <v>1859</v>
      </c>
      <c r="E23" s="18" t="s">
        <v>1860</v>
      </c>
      <c r="F23" s="17" t="s">
        <v>1861</v>
      </c>
      <c r="G23" s="24"/>
      <c r="H23" s="24"/>
      <c r="I23" s="19" t="s">
        <v>1783</v>
      </c>
      <c r="J23" s="19" t="s">
        <v>95</v>
      </c>
      <c r="K23" s="24"/>
      <c r="L23" s="20" t="str">
        <f t="shared" si="0"/>
        <v/>
      </c>
      <c r="M23" s="21">
        <f t="shared" si="1"/>
        <v>3</v>
      </c>
    </row>
    <row r="24" spans="1:13" ht="15" customHeight="1">
      <c r="A24" s="17" t="s">
        <v>1862</v>
      </c>
      <c r="B24" s="17">
        <v>3</v>
      </c>
      <c r="C24" s="17" t="s">
        <v>104</v>
      </c>
      <c r="D24" s="17" t="s">
        <v>1863</v>
      </c>
      <c r="E24" s="18" t="s">
        <v>1864</v>
      </c>
      <c r="F24" s="17" t="s">
        <v>1865</v>
      </c>
      <c r="G24" s="24"/>
      <c r="H24" s="24"/>
      <c r="I24" s="19" t="s">
        <v>1783</v>
      </c>
      <c r="J24" s="19" t="s">
        <v>95</v>
      </c>
      <c r="K24" s="24"/>
      <c r="L24" s="20" t="str">
        <f t="shared" si="0"/>
        <v/>
      </c>
      <c r="M24" s="21">
        <f t="shared" si="1"/>
        <v>6</v>
      </c>
    </row>
    <row r="25" spans="1:13" ht="15" customHeight="1">
      <c r="A25" s="17" t="s">
        <v>1866</v>
      </c>
      <c r="B25" s="17">
        <v>3</v>
      </c>
      <c r="C25" s="17" t="s">
        <v>104</v>
      </c>
      <c r="D25" s="17" t="s">
        <v>1867</v>
      </c>
      <c r="E25" s="18" t="s">
        <v>1868</v>
      </c>
      <c r="F25" s="17" t="s">
        <v>1869</v>
      </c>
      <c r="G25" s="24"/>
      <c r="H25" s="24"/>
      <c r="I25" s="19" t="s">
        <v>1783</v>
      </c>
      <c r="J25" s="19" t="s">
        <v>95</v>
      </c>
      <c r="K25" s="24"/>
      <c r="L25" s="20" t="str">
        <f t="shared" si="0"/>
        <v/>
      </c>
      <c r="M25" s="21">
        <f t="shared" si="1"/>
        <v>7</v>
      </c>
    </row>
    <row r="26" spans="1:13" ht="15" customHeight="1">
      <c r="A26" s="17" t="s">
        <v>1870</v>
      </c>
      <c r="B26" s="17">
        <v>3</v>
      </c>
      <c r="C26" s="17" t="s">
        <v>104</v>
      </c>
      <c r="D26" s="17" t="s">
        <v>1871</v>
      </c>
      <c r="E26" s="18" t="s">
        <v>1872</v>
      </c>
      <c r="F26" s="17" t="s">
        <v>1873</v>
      </c>
      <c r="G26" s="24"/>
      <c r="H26" s="24"/>
      <c r="I26" s="19" t="s">
        <v>1783</v>
      </c>
      <c r="J26" s="19" t="s">
        <v>95</v>
      </c>
      <c r="K26" s="24"/>
      <c r="L26" s="20" t="str">
        <f t="shared" si="0"/>
        <v/>
      </c>
      <c r="M26" s="21">
        <f t="shared" si="1"/>
        <v>4</v>
      </c>
    </row>
    <row r="27" spans="1:13" ht="15" customHeight="1">
      <c r="A27" s="17" t="s">
        <v>1874</v>
      </c>
      <c r="B27" s="17">
        <v>4</v>
      </c>
      <c r="C27" s="17" t="s">
        <v>104</v>
      </c>
      <c r="D27" s="17" t="s">
        <v>1875</v>
      </c>
      <c r="E27" s="18" t="s">
        <v>1876</v>
      </c>
      <c r="F27" s="17" t="s">
        <v>1877</v>
      </c>
      <c r="G27" s="24"/>
      <c r="H27" s="24"/>
      <c r="I27" s="19" t="s">
        <v>1783</v>
      </c>
      <c r="J27" s="19" t="s">
        <v>95</v>
      </c>
      <c r="K27" s="24"/>
      <c r="L27" s="20" t="str">
        <f t="shared" si="0"/>
        <v/>
      </c>
      <c r="M27" s="21">
        <f t="shared" si="1"/>
        <v>11</v>
      </c>
    </row>
    <row r="28" spans="1:13" ht="15" customHeight="1">
      <c r="A28" s="17" t="s">
        <v>1878</v>
      </c>
      <c r="B28" s="17">
        <v>4</v>
      </c>
      <c r="C28" s="17" t="s">
        <v>104</v>
      </c>
      <c r="D28" s="17" t="s">
        <v>1879</v>
      </c>
      <c r="E28" s="18" t="s">
        <v>1880</v>
      </c>
      <c r="F28" s="17" t="s">
        <v>1881</v>
      </c>
      <c r="G28" s="24"/>
      <c r="H28" s="24"/>
      <c r="I28" s="19" t="s">
        <v>1783</v>
      </c>
      <c r="J28" s="19" t="s">
        <v>95</v>
      </c>
      <c r="K28" s="24"/>
      <c r="L28" s="20" t="str">
        <f t="shared" si="0"/>
        <v/>
      </c>
      <c r="M28" s="21">
        <f t="shared" si="1"/>
        <v>11</v>
      </c>
    </row>
    <row r="29" spans="1:13" ht="15" customHeight="1">
      <c r="A29" s="17" t="s">
        <v>1882</v>
      </c>
      <c r="B29" s="17">
        <v>4</v>
      </c>
      <c r="C29" s="17" t="s">
        <v>104</v>
      </c>
      <c r="D29" s="17" t="s">
        <v>1883</v>
      </c>
      <c r="E29" s="18" t="s">
        <v>1884</v>
      </c>
      <c r="F29" s="17" t="s">
        <v>1885</v>
      </c>
      <c r="G29" s="24"/>
      <c r="H29" s="24"/>
      <c r="I29" s="19" t="s">
        <v>1783</v>
      </c>
      <c r="J29" s="19" t="s">
        <v>95</v>
      </c>
      <c r="K29" s="24"/>
      <c r="L29" s="20" t="str">
        <f t="shared" si="0"/>
        <v/>
      </c>
      <c r="M29" s="21">
        <f t="shared" si="1"/>
        <v>4</v>
      </c>
    </row>
    <row r="30" spans="1:13" ht="15" customHeight="1">
      <c r="A30" s="17" t="s">
        <v>1886</v>
      </c>
      <c r="B30" s="17">
        <v>4</v>
      </c>
      <c r="C30" s="17" t="s">
        <v>104</v>
      </c>
      <c r="D30" s="17" t="s">
        <v>1887</v>
      </c>
      <c r="E30" s="18" t="s">
        <v>1888</v>
      </c>
      <c r="F30" s="17" t="s">
        <v>1889</v>
      </c>
      <c r="G30" s="24"/>
      <c r="H30" s="24"/>
      <c r="I30" s="19" t="s">
        <v>1783</v>
      </c>
      <c r="J30" s="19" t="s">
        <v>95</v>
      </c>
      <c r="K30" s="24"/>
      <c r="L30" s="20" t="str">
        <f t="shared" si="0"/>
        <v/>
      </c>
      <c r="M30" s="21">
        <f t="shared" si="1"/>
        <v>5</v>
      </c>
    </row>
    <row r="31" spans="1:13" ht="15" customHeight="1">
      <c r="A31" s="17" t="s">
        <v>1890</v>
      </c>
      <c r="B31" s="17">
        <v>4</v>
      </c>
      <c r="C31" s="17" t="s">
        <v>104</v>
      </c>
      <c r="D31" s="17" t="s">
        <v>1891</v>
      </c>
      <c r="E31" s="18" t="s">
        <v>1892</v>
      </c>
      <c r="F31" s="17" t="s">
        <v>1893</v>
      </c>
      <c r="G31" s="24"/>
      <c r="H31" s="24"/>
      <c r="I31" s="19" t="s">
        <v>1783</v>
      </c>
      <c r="J31" s="19" t="s">
        <v>95</v>
      </c>
      <c r="K31" s="24"/>
      <c r="L31" s="20" t="str">
        <f t="shared" si="0"/>
        <v/>
      </c>
      <c r="M31" s="21">
        <f t="shared" si="1"/>
        <v>6</v>
      </c>
    </row>
    <row r="32" spans="1:13" ht="15" customHeight="1">
      <c r="A32" s="17" t="s">
        <v>1894</v>
      </c>
      <c r="B32" s="17">
        <v>5</v>
      </c>
      <c r="C32" s="17" t="s">
        <v>104</v>
      </c>
      <c r="D32" s="17" t="s">
        <v>1895</v>
      </c>
      <c r="E32" s="18" t="s">
        <v>1896</v>
      </c>
      <c r="F32" s="17" t="s">
        <v>1897</v>
      </c>
      <c r="G32" s="24"/>
      <c r="H32" s="24"/>
      <c r="I32" s="19" t="s">
        <v>1783</v>
      </c>
      <c r="J32" s="19" t="s">
        <v>95</v>
      </c>
      <c r="K32" s="24"/>
      <c r="L32" s="20" t="str">
        <f t="shared" si="0"/>
        <v/>
      </c>
      <c r="M32" s="21">
        <f t="shared" si="1"/>
        <v>7</v>
      </c>
    </row>
    <row r="33" spans="1:13" ht="15" customHeight="1">
      <c r="A33" s="17" t="s">
        <v>1898</v>
      </c>
      <c r="B33" s="17">
        <v>5</v>
      </c>
      <c r="C33" s="17" t="s">
        <v>104</v>
      </c>
      <c r="D33" s="17" t="s">
        <v>1899</v>
      </c>
      <c r="E33" s="18" t="s">
        <v>1900</v>
      </c>
      <c r="F33" s="17" t="s">
        <v>1901</v>
      </c>
      <c r="G33" s="24"/>
      <c r="H33" s="24"/>
      <c r="I33" s="19" t="s">
        <v>1783</v>
      </c>
      <c r="J33" s="19" t="s">
        <v>95</v>
      </c>
      <c r="K33" s="24"/>
      <c r="L33" s="20" t="str">
        <f t="shared" si="0"/>
        <v/>
      </c>
      <c r="M33" s="21">
        <f t="shared" si="1"/>
        <v>6</v>
      </c>
    </row>
    <row r="34" spans="1:13" ht="15" customHeight="1">
      <c r="A34" s="17" t="s">
        <v>1902</v>
      </c>
      <c r="B34" s="17">
        <v>5</v>
      </c>
      <c r="C34" s="17" t="s">
        <v>104</v>
      </c>
      <c r="D34" s="17" t="s">
        <v>1903</v>
      </c>
      <c r="E34" s="18" t="s">
        <v>1904</v>
      </c>
      <c r="F34" s="17" t="s">
        <v>1905</v>
      </c>
      <c r="G34" s="24"/>
      <c r="H34" s="24"/>
      <c r="I34" s="19" t="s">
        <v>1783</v>
      </c>
      <c r="J34" s="19" t="s">
        <v>95</v>
      </c>
      <c r="K34" s="24"/>
      <c r="L34" s="20" t="str">
        <f t="shared" si="0"/>
        <v/>
      </c>
      <c r="M34" s="21">
        <f t="shared" si="1"/>
        <v>3</v>
      </c>
    </row>
    <row r="35" spans="1:13" ht="15" customHeight="1">
      <c r="A35" s="17" t="s">
        <v>1906</v>
      </c>
      <c r="B35" s="17">
        <v>5</v>
      </c>
      <c r="C35" s="17" t="s">
        <v>104</v>
      </c>
      <c r="D35" s="17" t="s">
        <v>1907</v>
      </c>
      <c r="E35" s="18" t="s">
        <v>1908</v>
      </c>
      <c r="F35" s="17" t="s">
        <v>1909</v>
      </c>
      <c r="G35" s="24"/>
      <c r="H35" s="24"/>
      <c r="I35" s="19" t="s">
        <v>1783</v>
      </c>
      <c r="J35" s="19" t="s">
        <v>95</v>
      </c>
      <c r="K35" s="24"/>
      <c r="L35" s="20" t="str">
        <f t="shared" si="0"/>
        <v/>
      </c>
      <c r="M35" s="21">
        <f t="shared" si="1"/>
        <v>8</v>
      </c>
    </row>
    <row r="36" spans="1:13" ht="15" customHeight="1">
      <c r="A36" s="17" t="s">
        <v>1910</v>
      </c>
      <c r="B36" s="17">
        <v>5</v>
      </c>
      <c r="C36" s="17" t="s">
        <v>104</v>
      </c>
      <c r="D36" s="17" t="s">
        <v>1911</v>
      </c>
      <c r="E36" s="18" t="s">
        <v>1912</v>
      </c>
      <c r="F36" s="17" t="s">
        <v>1913</v>
      </c>
      <c r="G36" s="24"/>
      <c r="H36" s="24"/>
      <c r="I36" s="19" t="s">
        <v>1783</v>
      </c>
      <c r="J36" s="19" t="s">
        <v>95</v>
      </c>
      <c r="K36" s="24"/>
      <c r="L36" s="20" t="str">
        <f t="shared" si="0"/>
        <v/>
      </c>
      <c r="M36" s="21">
        <f t="shared" si="1"/>
        <v>8</v>
      </c>
    </row>
    <row r="37" spans="1:13" ht="15" customHeight="1">
      <c r="A37" s="17" t="s">
        <v>1914</v>
      </c>
      <c r="B37" s="17">
        <v>6</v>
      </c>
      <c r="C37" s="17" t="s">
        <v>104</v>
      </c>
      <c r="D37" s="17" t="s">
        <v>1915</v>
      </c>
      <c r="E37" s="18" t="s">
        <v>1916</v>
      </c>
      <c r="F37" s="17" t="s">
        <v>1917</v>
      </c>
      <c r="G37" s="24"/>
      <c r="H37" s="24"/>
      <c r="I37" s="19" t="s">
        <v>1783</v>
      </c>
      <c r="J37" s="19" t="s">
        <v>95</v>
      </c>
      <c r="K37" s="24"/>
      <c r="L37" s="20" t="str">
        <f t="shared" si="0"/>
        <v/>
      </c>
      <c r="M37" s="21">
        <f t="shared" si="1"/>
        <v>10</v>
      </c>
    </row>
    <row r="38" spans="1:13" ht="15" customHeight="1">
      <c r="A38" s="17" t="s">
        <v>1918</v>
      </c>
      <c r="B38" s="17">
        <v>6</v>
      </c>
      <c r="C38" s="17" t="s">
        <v>104</v>
      </c>
      <c r="D38" s="17" t="s">
        <v>1919</v>
      </c>
      <c r="E38" s="18" t="s">
        <v>1920</v>
      </c>
      <c r="F38" s="17" t="s">
        <v>1921</v>
      </c>
      <c r="G38" s="24"/>
      <c r="H38" s="24"/>
      <c r="I38" s="19" t="s">
        <v>1783</v>
      </c>
      <c r="J38" s="19" t="s">
        <v>95</v>
      </c>
      <c r="K38" s="24"/>
      <c r="L38" s="20" t="str">
        <f t="shared" si="0"/>
        <v/>
      </c>
      <c r="M38" s="21">
        <f t="shared" si="1"/>
        <v>7</v>
      </c>
    </row>
    <row r="39" spans="1:13" ht="15" customHeight="1">
      <c r="A39" s="17" t="s">
        <v>1922</v>
      </c>
      <c r="B39" s="17">
        <v>6</v>
      </c>
      <c r="C39" s="17" t="s">
        <v>104</v>
      </c>
      <c r="D39" s="17" t="s">
        <v>1923</v>
      </c>
      <c r="E39" s="18" t="s">
        <v>1924</v>
      </c>
      <c r="F39" s="17" t="s">
        <v>1925</v>
      </c>
      <c r="G39" s="24"/>
      <c r="H39" s="24"/>
      <c r="I39" s="19" t="s">
        <v>1783</v>
      </c>
      <c r="J39" s="19" t="s">
        <v>95</v>
      </c>
      <c r="K39" s="24"/>
      <c r="L39" s="20" t="str">
        <f t="shared" si="0"/>
        <v/>
      </c>
      <c r="M39" s="21">
        <f t="shared" si="1"/>
        <v>10</v>
      </c>
    </row>
    <row r="40" spans="1:13" ht="15" customHeight="1">
      <c r="A40" s="17" t="s">
        <v>1926</v>
      </c>
      <c r="B40" s="17">
        <v>6</v>
      </c>
      <c r="C40" s="17" t="s">
        <v>104</v>
      </c>
      <c r="D40" s="17" t="s">
        <v>1927</v>
      </c>
      <c r="E40" s="18" t="s">
        <v>1928</v>
      </c>
      <c r="F40" s="17" t="s">
        <v>1929</v>
      </c>
      <c r="G40" s="24"/>
      <c r="H40" s="24"/>
      <c r="I40" s="19" t="s">
        <v>1783</v>
      </c>
      <c r="J40" s="19" t="s">
        <v>95</v>
      </c>
      <c r="K40" s="24"/>
      <c r="L40" s="20" t="str">
        <f t="shared" si="0"/>
        <v/>
      </c>
      <c r="M40" s="21">
        <f t="shared" si="1"/>
        <v>6</v>
      </c>
    </row>
    <row r="41" spans="1:13" ht="15" customHeight="1">
      <c r="A41" s="17" t="s">
        <v>1930</v>
      </c>
      <c r="B41" s="17">
        <v>6</v>
      </c>
      <c r="C41" s="17" t="s">
        <v>104</v>
      </c>
      <c r="D41" s="17" t="s">
        <v>1931</v>
      </c>
      <c r="E41" s="18" t="s">
        <v>1932</v>
      </c>
      <c r="F41" s="17" t="s">
        <v>1933</v>
      </c>
      <c r="G41" s="24"/>
      <c r="H41" s="24"/>
      <c r="I41" s="19" t="s">
        <v>1783</v>
      </c>
      <c r="J41" s="19" t="s">
        <v>95</v>
      </c>
      <c r="K41" s="24"/>
      <c r="L41" s="20" t="str">
        <f t="shared" si="0"/>
        <v/>
      </c>
      <c r="M41" s="21">
        <f t="shared" si="1"/>
        <v>8</v>
      </c>
    </row>
    <row r="42" spans="1:13" ht="15" customHeight="1">
      <c r="A42" s="17" t="s">
        <v>1934</v>
      </c>
      <c r="B42" s="17">
        <v>3</v>
      </c>
      <c r="C42" s="17" t="s">
        <v>117</v>
      </c>
      <c r="D42" s="17" t="s">
        <v>1935</v>
      </c>
      <c r="E42" s="18" t="s">
        <v>1936</v>
      </c>
      <c r="F42" s="17" t="s">
        <v>1937</v>
      </c>
      <c r="G42" s="24"/>
      <c r="H42" s="24"/>
      <c r="I42" s="19" t="s">
        <v>1783</v>
      </c>
      <c r="J42" s="19" t="s">
        <v>95</v>
      </c>
      <c r="K42" s="24"/>
      <c r="L42" s="20" t="str">
        <f t="shared" si="0"/>
        <v/>
      </c>
      <c r="M42" s="21">
        <f t="shared" si="1"/>
        <v>4</v>
      </c>
    </row>
    <row r="43" spans="1:13" ht="15" customHeight="1">
      <c r="A43" s="17" t="s">
        <v>1938</v>
      </c>
      <c r="B43" s="17">
        <v>3</v>
      </c>
      <c r="C43" s="17" t="s">
        <v>117</v>
      </c>
      <c r="D43" s="17" t="s">
        <v>1939</v>
      </c>
      <c r="E43" s="18" t="s">
        <v>1940</v>
      </c>
      <c r="F43" s="17" t="s">
        <v>1941</v>
      </c>
      <c r="G43" s="24"/>
      <c r="H43" s="24"/>
      <c r="I43" s="19" t="s">
        <v>1783</v>
      </c>
      <c r="J43" s="19" t="s">
        <v>95</v>
      </c>
      <c r="K43" s="24"/>
      <c r="L43" s="20" t="str">
        <f t="shared" si="0"/>
        <v/>
      </c>
      <c r="M43" s="21">
        <f t="shared" si="1"/>
        <v>6</v>
      </c>
    </row>
    <row r="44" spans="1:13" ht="15" customHeight="1">
      <c r="A44" s="17" t="s">
        <v>1942</v>
      </c>
      <c r="B44" s="17">
        <v>3</v>
      </c>
      <c r="C44" s="17" t="s">
        <v>117</v>
      </c>
      <c r="D44" s="17" t="s">
        <v>1943</v>
      </c>
      <c r="E44" s="18" t="s">
        <v>1944</v>
      </c>
      <c r="F44" s="17" t="s">
        <v>1945</v>
      </c>
      <c r="G44" s="24"/>
      <c r="H44" s="24"/>
      <c r="I44" s="19" t="s">
        <v>1783</v>
      </c>
      <c r="J44" s="19" t="s">
        <v>95</v>
      </c>
      <c r="K44" s="24"/>
      <c r="L44" s="20" t="str">
        <f t="shared" si="0"/>
        <v/>
      </c>
      <c r="M44" s="21">
        <f t="shared" si="1"/>
        <v>4</v>
      </c>
    </row>
    <row r="45" spans="1:13" ht="15" customHeight="1">
      <c r="A45" s="17" t="s">
        <v>1946</v>
      </c>
      <c r="B45" s="17">
        <v>3</v>
      </c>
      <c r="C45" s="17" t="s">
        <v>117</v>
      </c>
      <c r="D45" s="17" t="s">
        <v>1947</v>
      </c>
      <c r="E45" s="18" t="s">
        <v>1948</v>
      </c>
      <c r="F45" s="17" t="s">
        <v>1949</v>
      </c>
      <c r="G45" s="24"/>
      <c r="H45" s="24"/>
      <c r="I45" s="19" t="s">
        <v>1783</v>
      </c>
      <c r="J45" s="19" t="s">
        <v>95</v>
      </c>
      <c r="K45" s="24"/>
      <c r="L45" s="20" t="str">
        <f t="shared" si="0"/>
        <v/>
      </c>
      <c r="M45" s="21">
        <f t="shared" si="1"/>
        <v>5</v>
      </c>
    </row>
    <row r="46" spans="1:13" ht="15" customHeight="1">
      <c r="A46" s="17" t="s">
        <v>1950</v>
      </c>
      <c r="B46" s="17">
        <v>3</v>
      </c>
      <c r="C46" s="17" t="s">
        <v>117</v>
      </c>
      <c r="D46" s="17" t="s">
        <v>1951</v>
      </c>
      <c r="E46" s="18" t="s">
        <v>1952</v>
      </c>
      <c r="F46" s="17" t="s">
        <v>1953</v>
      </c>
      <c r="G46" s="24"/>
      <c r="H46" s="24"/>
      <c r="I46" s="19" t="s">
        <v>1783</v>
      </c>
      <c r="J46" s="19" t="s">
        <v>95</v>
      </c>
      <c r="K46" s="24"/>
      <c r="L46" s="20" t="str">
        <f t="shared" si="0"/>
        <v/>
      </c>
      <c r="M46" s="21">
        <f t="shared" si="1"/>
        <v>7</v>
      </c>
    </row>
    <row r="47" spans="1:13" ht="15" customHeight="1">
      <c r="A47" s="17" t="s">
        <v>1954</v>
      </c>
      <c r="B47" s="17">
        <v>4</v>
      </c>
      <c r="C47" s="17" t="s">
        <v>117</v>
      </c>
      <c r="D47" s="17" t="s">
        <v>1955</v>
      </c>
      <c r="E47" s="18" t="s">
        <v>1956</v>
      </c>
      <c r="F47" s="17" t="s">
        <v>1957</v>
      </c>
      <c r="G47" s="24"/>
      <c r="H47" s="24"/>
      <c r="I47" s="19" t="s">
        <v>1783</v>
      </c>
      <c r="J47" s="19" t="s">
        <v>95</v>
      </c>
      <c r="K47" s="24"/>
      <c r="L47" s="20" t="str">
        <f t="shared" si="0"/>
        <v/>
      </c>
      <c r="M47" s="21">
        <f t="shared" si="1"/>
        <v>9</v>
      </c>
    </row>
    <row r="48" spans="1:13" ht="15" customHeight="1">
      <c r="A48" s="17" t="s">
        <v>1958</v>
      </c>
      <c r="B48" s="17">
        <v>4</v>
      </c>
      <c r="C48" s="17" t="s">
        <v>117</v>
      </c>
      <c r="D48" s="17" t="s">
        <v>1959</v>
      </c>
      <c r="E48" s="18" t="s">
        <v>1960</v>
      </c>
      <c r="F48" s="17" t="s">
        <v>1961</v>
      </c>
      <c r="G48" s="24"/>
      <c r="H48" s="24"/>
      <c r="I48" s="19" t="s">
        <v>1783</v>
      </c>
      <c r="J48" s="19" t="s">
        <v>95</v>
      </c>
      <c r="K48" s="24"/>
      <c r="L48" s="20" t="str">
        <f t="shared" si="0"/>
        <v/>
      </c>
      <c r="M48" s="21">
        <f t="shared" si="1"/>
        <v>7</v>
      </c>
    </row>
    <row r="49" spans="1:13" ht="15" customHeight="1">
      <c r="A49" s="17" t="s">
        <v>1962</v>
      </c>
      <c r="B49" s="17">
        <v>4</v>
      </c>
      <c r="C49" s="17" t="s">
        <v>117</v>
      </c>
      <c r="D49" s="17" t="s">
        <v>1963</v>
      </c>
      <c r="E49" s="18" t="s">
        <v>1964</v>
      </c>
      <c r="F49" s="17" t="s">
        <v>1965</v>
      </c>
      <c r="G49" s="24"/>
      <c r="H49" s="24"/>
      <c r="I49" s="19" t="s">
        <v>1783</v>
      </c>
      <c r="J49" s="19" t="s">
        <v>95</v>
      </c>
      <c r="K49" s="24"/>
      <c r="L49" s="20" t="str">
        <f t="shared" si="0"/>
        <v/>
      </c>
      <c r="M49" s="21">
        <f t="shared" si="1"/>
        <v>8</v>
      </c>
    </row>
    <row r="50" spans="1:13" ht="15" customHeight="1">
      <c r="A50" s="17" t="s">
        <v>1966</v>
      </c>
      <c r="B50" s="17">
        <v>4</v>
      </c>
      <c r="C50" s="17" t="s">
        <v>117</v>
      </c>
      <c r="D50" s="17" t="s">
        <v>1967</v>
      </c>
      <c r="E50" s="18" t="s">
        <v>1968</v>
      </c>
      <c r="F50" s="17" t="s">
        <v>1969</v>
      </c>
      <c r="G50" s="24"/>
      <c r="H50" s="24"/>
      <c r="I50" s="19" t="s">
        <v>1783</v>
      </c>
      <c r="J50" s="19" t="s">
        <v>95</v>
      </c>
      <c r="K50" s="24"/>
      <c r="L50" s="20" t="str">
        <f t="shared" si="0"/>
        <v/>
      </c>
      <c r="M50" s="21">
        <f t="shared" si="1"/>
        <v>6</v>
      </c>
    </row>
    <row r="51" spans="1:13" ht="15" customHeight="1">
      <c r="A51" s="17" t="s">
        <v>1970</v>
      </c>
      <c r="B51" s="17">
        <v>4</v>
      </c>
      <c r="C51" s="17" t="s">
        <v>117</v>
      </c>
      <c r="D51" s="17" t="s">
        <v>1971</v>
      </c>
      <c r="E51" s="18" t="s">
        <v>1972</v>
      </c>
      <c r="F51" s="17" t="s">
        <v>1973</v>
      </c>
      <c r="G51" s="24"/>
      <c r="H51" s="24"/>
      <c r="I51" s="19" t="s">
        <v>1783</v>
      </c>
      <c r="J51" s="19" t="s">
        <v>95</v>
      </c>
      <c r="K51" s="24"/>
      <c r="L51" s="20" t="str">
        <f t="shared" si="0"/>
        <v/>
      </c>
      <c r="M51" s="21">
        <f t="shared" si="1"/>
        <v>3</v>
      </c>
    </row>
    <row r="52" spans="1:13" ht="15" customHeight="1">
      <c r="A52" s="17" t="s">
        <v>1974</v>
      </c>
      <c r="B52" s="17">
        <v>5</v>
      </c>
      <c r="C52" s="17" t="s">
        <v>117</v>
      </c>
      <c r="D52" s="17" t="s">
        <v>1975</v>
      </c>
      <c r="E52" s="18" t="s">
        <v>1976</v>
      </c>
      <c r="F52" s="17" t="s">
        <v>1977</v>
      </c>
      <c r="G52" s="24"/>
      <c r="H52" s="24"/>
      <c r="I52" s="19" t="s">
        <v>1783</v>
      </c>
      <c r="J52" s="19" t="s">
        <v>95</v>
      </c>
      <c r="K52" s="24"/>
      <c r="L52" s="20" t="str">
        <f t="shared" si="0"/>
        <v/>
      </c>
      <c r="M52" s="21">
        <f t="shared" si="1"/>
        <v>8</v>
      </c>
    </row>
    <row r="53" spans="1:13" ht="15" customHeight="1">
      <c r="A53" s="17" t="s">
        <v>1978</v>
      </c>
      <c r="B53" s="17">
        <v>5</v>
      </c>
      <c r="C53" s="17" t="s">
        <v>117</v>
      </c>
      <c r="D53" s="17" t="s">
        <v>1979</v>
      </c>
      <c r="E53" s="18" t="s">
        <v>1980</v>
      </c>
      <c r="F53" s="17" t="s">
        <v>1981</v>
      </c>
      <c r="G53" s="24"/>
      <c r="H53" s="24"/>
      <c r="I53" s="19" t="s">
        <v>1783</v>
      </c>
      <c r="J53" s="19" t="s">
        <v>95</v>
      </c>
      <c r="K53" s="24"/>
      <c r="L53" s="20" t="str">
        <f t="shared" si="0"/>
        <v/>
      </c>
      <c r="M53" s="21">
        <f t="shared" si="1"/>
        <v>4</v>
      </c>
    </row>
    <row r="54" spans="1:13" ht="15" customHeight="1">
      <c r="A54" s="17" t="s">
        <v>1982</v>
      </c>
      <c r="B54" s="17">
        <v>5</v>
      </c>
      <c r="C54" s="17" t="s">
        <v>117</v>
      </c>
      <c r="D54" s="17" t="s">
        <v>1983</v>
      </c>
      <c r="E54" s="18" t="s">
        <v>1984</v>
      </c>
      <c r="F54" s="17" t="s">
        <v>1985</v>
      </c>
      <c r="G54" s="24"/>
      <c r="H54" s="24"/>
      <c r="I54" s="19" t="s">
        <v>1783</v>
      </c>
      <c r="J54" s="19" t="s">
        <v>95</v>
      </c>
      <c r="K54" s="24"/>
      <c r="L54" s="20" t="str">
        <f t="shared" si="0"/>
        <v/>
      </c>
      <c r="M54" s="21">
        <f t="shared" si="1"/>
        <v>7</v>
      </c>
    </row>
    <row r="55" spans="1:13" ht="15" customHeight="1">
      <c r="A55" s="17" t="s">
        <v>1986</v>
      </c>
      <c r="B55" s="17">
        <v>5</v>
      </c>
      <c r="C55" s="17" t="s">
        <v>117</v>
      </c>
      <c r="D55" s="17" t="s">
        <v>1987</v>
      </c>
      <c r="E55" s="18" t="s">
        <v>1988</v>
      </c>
      <c r="F55" s="17" t="s">
        <v>1989</v>
      </c>
      <c r="G55" s="24"/>
      <c r="H55" s="24"/>
      <c r="I55" s="19" t="s">
        <v>1783</v>
      </c>
      <c r="J55" s="19" t="s">
        <v>95</v>
      </c>
      <c r="K55" s="24"/>
      <c r="L55" s="20" t="str">
        <f t="shared" si="0"/>
        <v/>
      </c>
      <c r="M55" s="21">
        <f t="shared" si="1"/>
        <v>6</v>
      </c>
    </row>
    <row r="56" spans="1:13" ht="15" customHeight="1">
      <c r="A56" s="17" t="s">
        <v>1990</v>
      </c>
      <c r="B56" s="17">
        <v>5</v>
      </c>
      <c r="C56" s="17" t="s">
        <v>117</v>
      </c>
      <c r="D56" s="17" t="s">
        <v>1991</v>
      </c>
      <c r="E56" s="18" t="s">
        <v>1992</v>
      </c>
      <c r="F56" s="17" t="s">
        <v>1993</v>
      </c>
      <c r="G56" s="24"/>
      <c r="H56" s="24"/>
      <c r="I56" s="19" t="s">
        <v>1783</v>
      </c>
      <c r="J56" s="19" t="s">
        <v>95</v>
      </c>
      <c r="K56" s="24"/>
      <c r="L56" s="20" t="str">
        <f t="shared" si="0"/>
        <v/>
      </c>
      <c r="M56" s="21">
        <f t="shared" si="1"/>
        <v>7</v>
      </c>
    </row>
    <row r="57" spans="1:13" ht="15" customHeight="1">
      <c r="A57" s="17" t="s">
        <v>1994</v>
      </c>
      <c r="B57" s="17">
        <v>6</v>
      </c>
      <c r="C57" s="17" t="s">
        <v>117</v>
      </c>
      <c r="D57" s="17" t="s">
        <v>1995</v>
      </c>
      <c r="E57" s="18" t="s">
        <v>1996</v>
      </c>
      <c r="F57" s="17" t="s">
        <v>1997</v>
      </c>
      <c r="G57" s="24"/>
      <c r="H57" s="24"/>
      <c r="I57" s="19" t="s">
        <v>1783</v>
      </c>
      <c r="J57" s="19" t="s">
        <v>95</v>
      </c>
      <c r="K57" s="24"/>
      <c r="L57" s="20" t="str">
        <f t="shared" si="0"/>
        <v/>
      </c>
      <c r="M57" s="21">
        <f t="shared" si="1"/>
        <v>9</v>
      </c>
    </row>
    <row r="58" spans="1:13" ht="15" customHeight="1">
      <c r="A58" s="17" t="s">
        <v>1998</v>
      </c>
      <c r="B58" s="17">
        <v>6</v>
      </c>
      <c r="C58" s="17" t="s">
        <v>117</v>
      </c>
      <c r="D58" s="17" t="s">
        <v>1999</v>
      </c>
      <c r="E58" s="18" t="s">
        <v>2000</v>
      </c>
      <c r="F58" s="17" t="s">
        <v>2001</v>
      </c>
      <c r="G58" s="24"/>
      <c r="H58" s="24"/>
      <c r="I58" s="19" t="s">
        <v>1783</v>
      </c>
      <c r="J58" s="19" t="s">
        <v>95</v>
      </c>
      <c r="K58" s="24"/>
      <c r="L58" s="20" t="str">
        <f t="shared" si="0"/>
        <v/>
      </c>
      <c r="M58" s="21">
        <f t="shared" si="1"/>
        <v>9</v>
      </c>
    </row>
    <row r="59" spans="1:13" ht="15" customHeight="1">
      <c r="A59" s="17" t="s">
        <v>2002</v>
      </c>
      <c r="B59" s="17">
        <v>6</v>
      </c>
      <c r="C59" s="17" t="s">
        <v>117</v>
      </c>
      <c r="D59" s="17" t="s">
        <v>2003</v>
      </c>
      <c r="E59" s="18" t="s">
        <v>2004</v>
      </c>
      <c r="F59" s="17" t="s">
        <v>2005</v>
      </c>
      <c r="G59" s="24"/>
      <c r="H59" s="24"/>
      <c r="I59" s="19" t="s">
        <v>1783</v>
      </c>
      <c r="J59" s="19" t="s">
        <v>95</v>
      </c>
      <c r="K59" s="24"/>
      <c r="L59" s="20" t="str">
        <f t="shared" si="0"/>
        <v/>
      </c>
      <c r="M59" s="21">
        <f t="shared" si="1"/>
        <v>8</v>
      </c>
    </row>
    <row r="60" spans="1:13" ht="15" customHeight="1">
      <c r="A60" s="17" t="s">
        <v>2006</v>
      </c>
      <c r="B60" s="17">
        <v>6</v>
      </c>
      <c r="C60" s="17" t="s">
        <v>117</v>
      </c>
      <c r="D60" s="17" t="s">
        <v>2007</v>
      </c>
      <c r="E60" s="18" t="s">
        <v>2008</v>
      </c>
      <c r="F60" s="17" t="s">
        <v>2009</v>
      </c>
      <c r="G60" s="24"/>
      <c r="H60" s="24"/>
      <c r="I60" s="19" t="s">
        <v>1783</v>
      </c>
      <c r="J60" s="19" t="s">
        <v>95</v>
      </c>
      <c r="K60" s="24"/>
      <c r="L60" s="20" t="str">
        <f t="shared" si="0"/>
        <v/>
      </c>
      <c r="M60" s="21">
        <f t="shared" si="1"/>
        <v>5</v>
      </c>
    </row>
    <row r="61" spans="1:13" ht="15" customHeight="1">
      <c r="A61" s="17" t="s">
        <v>2010</v>
      </c>
      <c r="B61" s="17">
        <v>6</v>
      </c>
      <c r="C61" s="17" t="s">
        <v>117</v>
      </c>
      <c r="D61" s="17" t="s">
        <v>2011</v>
      </c>
      <c r="E61" s="18" t="s">
        <v>2012</v>
      </c>
      <c r="F61" s="17" t="s">
        <v>2013</v>
      </c>
      <c r="G61" s="24"/>
      <c r="H61" s="24"/>
      <c r="I61" s="19" t="s">
        <v>1783</v>
      </c>
      <c r="J61" s="19" t="s">
        <v>95</v>
      </c>
      <c r="K61" s="24"/>
      <c r="L61" s="20" t="str">
        <f t="shared" si="0"/>
        <v/>
      </c>
      <c r="M61" s="21">
        <f t="shared" si="1"/>
        <v>9</v>
      </c>
    </row>
    <row r="62" spans="1:13" ht="15" customHeight="1">
      <c r="A62" s="17" t="s">
        <v>2014</v>
      </c>
      <c r="B62" s="17">
        <v>3</v>
      </c>
      <c r="C62" s="17" t="s">
        <v>130</v>
      </c>
      <c r="D62" s="17" t="s">
        <v>2015</v>
      </c>
      <c r="E62" s="18" t="s">
        <v>2016</v>
      </c>
      <c r="F62" s="17" t="s">
        <v>2017</v>
      </c>
      <c r="G62" s="24"/>
      <c r="H62" s="24"/>
      <c r="I62" s="19" t="s">
        <v>1783</v>
      </c>
      <c r="J62" s="19" t="s">
        <v>95</v>
      </c>
      <c r="K62" s="24"/>
      <c r="L62" s="20" t="str">
        <f t="shared" si="0"/>
        <v/>
      </c>
      <c r="M62" s="21">
        <f t="shared" si="1"/>
        <v>3</v>
      </c>
    </row>
    <row r="63" spans="1:13" ht="15" customHeight="1">
      <c r="A63" s="17" t="s">
        <v>2018</v>
      </c>
      <c r="B63" s="17">
        <v>3</v>
      </c>
      <c r="C63" s="17" t="s">
        <v>130</v>
      </c>
      <c r="D63" s="17" t="s">
        <v>2019</v>
      </c>
      <c r="E63" s="18" t="s">
        <v>2020</v>
      </c>
      <c r="F63" s="17" t="s">
        <v>2021</v>
      </c>
      <c r="G63" s="24"/>
      <c r="H63" s="24"/>
      <c r="I63" s="19" t="s">
        <v>1783</v>
      </c>
      <c r="J63" s="19" t="s">
        <v>95</v>
      </c>
      <c r="K63" s="24"/>
      <c r="L63" s="20" t="str">
        <f t="shared" si="0"/>
        <v/>
      </c>
      <c r="M63" s="21">
        <f t="shared" si="1"/>
        <v>3</v>
      </c>
    </row>
    <row r="64" spans="1:13" ht="15" customHeight="1">
      <c r="A64" s="17" t="s">
        <v>2022</v>
      </c>
      <c r="B64" s="17">
        <v>3</v>
      </c>
      <c r="C64" s="17" t="s">
        <v>130</v>
      </c>
      <c r="D64" s="17" t="s">
        <v>2023</v>
      </c>
      <c r="E64" s="18" t="s">
        <v>2024</v>
      </c>
      <c r="F64" s="17" t="s">
        <v>2025</v>
      </c>
      <c r="G64" s="24"/>
      <c r="H64" s="24"/>
      <c r="I64" s="19" t="s">
        <v>1783</v>
      </c>
      <c r="J64" s="19" t="s">
        <v>95</v>
      </c>
      <c r="K64" s="24"/>
      <c r="L64" s="20" t="str">
        <f t="shared" si="0"/>
        <v/>
      </c>
      <c r="M64" s="21">
        <f t="shared" si="1"/>
        <v>4</v>
      </c>
    </row>
    <row r="65" spans="1:13" ht="15" customHeight="1">
      <c r="A65" s="17" t="s">
        <v>2026</v>
      </c>
      <c r="B65" s="17">
        <v>3</v>
      </c>
      <c r="C65" s="17" t="s">
        <v>130</v>
      </c>
      <c r="D65" s="17" t="s">
        <v>2027</v>
      </c>
      <c r="E65" s="18" t="s">
        <v>2028</v>
      </c>
      <c r="F65" s="17" t="s">
        <v>2029</v>
      </c>
      <c r="G65" s="24"/>
      <c r="H65" s="24"/>
      <c r="I65" s="19" t="s">
        <v>1783</v>
      </c>
      <c r="J65" s="19" t="s">
        <v>95</v>
      </c>
      <c r="K65" s="24"/>
      <c r="L65" s="20" t="str">
        <f t="shared" si="0"/>
        <v/>
      </c>
      <c r="M65" s="21">
        <f t="shared" si="1"/>
        <v>4</v>
      </c>
    </row>
    <row r="66" spans="1:13" ht="15" customHeight="1">
      <c r="A66" s="17" t="s">
        <v>2030</v>
      </c>
      <c r="B66" s="17">
        <v>3</v>
      </c>
      <c r="C66" s="17" t="s">
        <v>130</v>
      </c>
      <c r="D66" s="17" t="s">
        <v>2031</v>
      </c>
      <c r="E66" s="18" t="s">
        <v>2032</v>
      </c>
      <c r="F66" s="17" t="s">
        <v>2033</v>
      </c>
      <c r="G66" s="24"/>
      <c r="H66" s="24"/>
      <c r="I66" s="19" t="s">
        <v>1783</v>
      </c>
      <c r="J66" s="19" t="s">
        <v>95</v>
      </c>
      <c r="K66" s="24"/>
      <c r="L66" s="20" t="str">
        <f t="shared" ref="L66:L129" si="2">IF(A66="","",IF(COUNTIF($A$2:$A$401,A66)&gt;1,"중복",""))</f>
        <v/>
      </c>
      <c r="M66" s="21">
        <f t="shared" ref="M66:M129" si="3">IF(D66="","",LEN(D66))</f>
        <v>6</v>
      </c>
    </row>
    <row r="67" spans="1:13" ht="15" customHeight="1">
      <c r="A67" s="17" t="s">
        <v>2034</v>
      </c>
      <c r="B67" s="17">
        <v>4</v>
      </c>
      <c r="C67" s="17" t="s">
        <v>130</v>
      </c>
      <c r="D67" s="17" t="s">
        <v>2035</v>
      </c>
      <c r="E67" s="18" t="s">
        <v>2036</v>
      </c>
      <c r="F67" s="17" t="s">
        <v>2037</v>
      </c>
      <c r="G67" s="24"/>
      <c r="H67" s="24"/>
      <c r="I67" s="19" t="s">
        <v>1783</v>
      </c>
      <c r="J67" s="19" t="s">
        <v>95</v>
      </c>
      <c r="K67" s="24"/>
      <c r="L67" s="20" t="str">
        <f t="shared" si="2"/>
        <v/>
      </c>
      <c r="M67" s="21">
        <f t="shared" si="3"/>
        <v>4</v>
      </c>
    </row>
    <row r="68" spans="1:13" ht="15" customHeight="1">
      <c r="A68" s="17" t="s">
        <v>2038</v>
      </c>
      <c r="B68" s="17">
        <v>4</v>
      </c>
      <c r="C68" s="17" t="s">
        <v>130</v>
      </c>
      <c r="D68" s="17" t="s">
        <v>2039</v>
      </c>
      <c r="E68" s="18" t="s">
        <v>2040</v>
      </c>
      <c r="F68" s="17" t="s">
        <v>2041</v>
      </c>
      <c r="G68" s="24"/>
      <c r="H68" s="24"/>
      <c r="I68" s="19" t="s">
        <v>1783</v>
      </c>
      <c r="J68" s="19" t="s">
        <v>95</v>
      </c>
      <c r="K68" s="24"/>
      <c r="L68" s="20" t="str">
        <f t="shared" si="2"/>
        <v/>
      </c>
      <c r="M68" s="21">
        <f t="shared" si="3"/>
        <v>8</v>
      </c>
    </row>
    <row r="69" spans="1:13" ht="15" customHeight="1">
      <c r="A69" s="17" t="s">
        <v>2042</v>
      </c>
      <c r="B69" s="17">
        <v>4</v>
      </c>
      <c r="C69" s="17" t="s">
        <v>130</v>
      </c>
      <c r="D69" s="17" t="s">
        <v>2043</v>
      </c>
      <c r="E69" s="18" t="s">
        <v>2044</v>
      </c>
      <c r="F69" s="17" t="s">
        <v>2045</v>
      </c>
      <c r="G69" s="24"/>
      <c r="H69" s="24"/>
      <c r="I69" s="19" t="s">
        <v>1783</v>
      </c>
      <c r="J69" s="19" t="s">
        <v>95</v>
      </c>
      <c r="K69" s="24"/>
      <c r="L69" s="20" t="str">
        <f t="shared" si="2"/>
        <v/>
      </c>
      <c r="M69" s="21">
        <f t="shared" si="3"/>
        <v>6</v>
      </c>
    </row>
    <row r="70" spans="1:13" ht="15" customHeight="1">
      <c r="A70" s="17" t="s">
        <v>2046</v>
      </c>
      <c r="B70" s="17">
        <v>4</v>
      </c>
      <c r="C70" s="17" t="s">
        <v>130</v>
      </c>
      <c r="D70" s="17" t="s">
        <v>2047</v>
      </c>
      <c r="E70" s="18" t="s">
        <v>2048</v>
      </c>
      <c r="F70" s="17" t="s">
        <v>2049</v>
      </c>
      <c r="G70" s="24"/>
      <c r="H70" s="24"/>
      <c r="I70" s="19" t="s">
        <v>1783</v>
      </c>
      <c r="J70" s="19" t="s">
        <v>95</v>
      </c>
      <c r="K70" s="24"/>
      <c r="L70" s="20" t="str">
        <f t="shared" si="2"/>
        <v/>
      </c>
      <c r="M70" s="21">
        <f t="shared" si="3"/>
        <v>5</v>
      </c>
    </row>
    <row r="71" spans="1:13" ht="15" customHeight="1">
      <c r="A71" s="17" t="s">
        <v>2050</v>
      </c>
      <c r="B71" s="17">
        <v>4</v>
      </c>
      <c r="C71" s="17" t="s">
        <v>130</v>
      </c>
      <c r="D71" s="17" t="s">
        <v>2051</v>
      </c>
      <c r="E71" s="18" t="s">
        <v>2052</v>
      </c>
      <c r="F71" s="17" t="s">
        <v>2053</v>
      </c>
      <c r="G71" s="24"/>
      <c r="H71" s="24"/>
      <c r="I71" s="19" t="s">
        <v>1783</v>
      </c>
      <c r="J71" s="19" t="s">
        <v>95</v>
      </c>
      <c r="K71" s="24"/>
      <c r="L71" s="20" t="str">
        <f t="shared" si="2"/>
        <v/>
      </c>
      <c r="M71" s="21">
        <f t="shared" si="3"/>
        <v>4</v>
      </c>
    </row>
    <row r="72" spans="1:13" ht="15" customHeight="1">
      <c r="A72" s="17" t="s">
        <v>2054</v>
      </c>
      <c r="B72" s="17">
        <v>5</v>
      </c>
      <c r="C72" s="17" t="s">
        <v>130</v>
      </c>
      <c r="D72" s="17" t="s">
        <v>2055</v>
      </c>
      <c r="E72" s="18" t="s">
        <v>2056</v>
      </c>
      <c r="F72" s="17" t="s">
        <v>2057</v>
      </c>
      <c r="G72" s="24"/>
      <c r="H72" s="24"/>
      <c r="I72" s="19" t="s">
        <v>1783</v>
      </c>
      <c r="J72" s="19" t="s">
        <v>95</v>
      </c>
      <c r="K72" s="24"/>
      <c r="L72" s="20" t="str">
        <f t="shared" si="2"/>
        <v/>
      </c>
      <c r="M72" s="21">
        <f t="shared" si="3"/>
        <v>8</v>
      </c>
    </row>
    <row r="73" spans="1:13" ht="15" customHeight="1">
      <c r="A73" s="17" t="s">
        <v>2058</v>
      </c>
      <c r="B73" s="17">
        <v>5</v>
      </c>
      <c r="C73" s="17" t="s">
        <v>130</v>
      </c>
      <c r="D73" s="17" t="s">
        <v>2059</v>
      </c>
      <c r="E73" s="18" t="s">
        <v>2060</v>
      </c>
      <c r="F73" s="17" t="s">
        <v>2061</v>
      </c>
      <c r="G73" s="24"/>
      <c r="H73" s="24"/>
      <c r="I73" s="19" t="s">
        <v>1783</v>
      </c>
      <c r="J73" s="19" t="s">
        <v>95</v>
      </c>
      <c r="K73" s="24"/>
      <c r="L73" s="20" t="str">
        <f t="shared" si="2"/>
        <v/>
      </c>
      <c r="M73" s="21">
        <f t="shared" si="3"/>
        <v>6</v>
      </c>
    </row>
    <row r="74" spans="1:13" ht="15" customHeight="1">
      <c r="A74" s="17" t="s">
        <v>2062</v>
      </c>
      <c r="B74" s="17">
        <v>5</v>
      </c>
      <c r="C74" s="17" t="s">
        <v>130</v>
      </c>
      <c r="D74" s="17" t="s">
        <v>2063</v>
      </c>
      <c r="E74" s="18" t="s">
        <v>2064</v>
      </c>
      <c r="F74" s="17" t="s">
        <v>2065</v>
      </c>
      <c r="G74" s="24"/>
      <c r="H74" s="24"/>
      <c r="I74" s="19" t="s">
        <v>1783</v>
      </c>
      <c r="J74" s="19" t="s">
        <v>95</v>
      </c>
      <c r="K74" s="24"/>
      <c r="L74" s="20" t="str">
        <f t="shared" si="2"/>
        <v/>
      </c>
      <c r="M74" s="21">
        <f t="shared" si="3"/>
        <v>7</v>
      </c>
    </row>
    <row r="75" spans="1:13" ht="15" customHeight="1">
      <c r="A75" s="17" t="s">
        <v>2066</v>
      </c>
      <c r="B75" s="17">
        <v>5</v>
      </c>
      <c r="C75" s="17" t="s">
        <v>130</v>
      </c>
      <c r="D75" s="17" t="s">
        <v>2067</v>
      </c>
      <c r="E75" s="18" t="s">
        <v>2068</v>
      </c>
      <c r="F75" s="17" t="s">
        <v>2069</v>
      </c>
      <c r="G75" s="24"/>
      <c r="H75" s="24"/>
      <c r="I75" s="19" t="s">
        <v>1783</v>
      </c>
      <c r="J75" s="19" t="s">
        <v>95</v>
      </c>
      <c r="K75" s="24"/>
      <c r="L75" s="20" t="str">
        <f t="shared" si="2"/>
        <v/>
      </c>
      <c r="M75" s="21">
        <f t="shared" si="3"/>
        <v>6</v>
      </c>
    </row>
    <row r="76" spans="1:13" ht="15" customHeight="1">
      <c r="A76" s="17" t="s">
        <v>2070</v>
      </c>
      <c r="B76" s="17">
        <v>5</v>
      </c>
      <c r="C76" s="17" t="s">
        <v>130</v>
      </c>
      <c r="D76" s="17" t="s">
        <v>2071</v>
      </c>
      <c r="E76" s="18" t="s">
        <v>2072</v>
      </c>
      <c r="F76" s="17" t="s">
        <v>2073</v>
      </c>
      <c r="G76" s="24"/>
      <c r="H76" s="24"/>
      <c r="I76" s="19" t="s">
        <v>1783</v>
      </c>
      <c r="J76" s="19" t="s">
        <v>95</v>
      </c>
      <c r="K76" s="24"/>
      <c r="L76" s="20" t="str">
        <f t="shared" si="2"/>
        <v/>
      </c>
      <c r="M76" s="21">
        <f t="shared" si="3"/>
        <v>8</v>
      </c>
    </row>
    <row r="77" spans="1:13" ht="15" customHeight="1">
      <c r="A77" s="17" t="s">
        <v>2074</v>
      </c>
      <c r="B77" s="17">
        <v>6</v>
      </c>
      <c r="C77" s="17" t="s">
        <v>130</v>
      </c>
      <c r="D77" s="17" t="s">
        <v>2075</v>
      </c>
      <c r="E77" s="18" t="s">
        <v>2076</v>
      </c>
      <c r="F77" s="17" t="s">
        <v>2077</v>
      </c>
      <c r="G77" s="24"/>
      <c r="H77" s="24"/>
      <c r="I77" s="19" t="s">
        <v>1783</v>
      </c>
      <c r="J77" s="19" t="s">
        <v>95</v>
      </c>
      <c r="K77" s="24"/>
      <c r="L77" s="20" t="str">
        <f t="shared" si="2"/>
        <v/>
      </c>
      <c r="M77" s="21">
        <f t="shared" si="3"/>
        <v>10</v>
      </c>
    </row>
    <row r="78" spans="1:13" ht="15" customHeight="1">
      <c r="A78" s="17" t="s">
        <v>2078</v>
      </c>
      <c r="B78" s="17">
        <v>6</v>
      </c>
      <c r="C78" s="17" t="s">
        <v>130</v>
      </c>
      <c r="D78" s="17" t="s">
        <v>2079</v>
      </c>
      <c r="E78" s="18" t="s">
        <v>2080</v>
      </c>
      <c r="F78" s="17" t="s">
        <v>2081</v>
      </c>
      <c r="G78" s="24"/>
      <c r="H78" s="24"/>
      <c r="I78" s="19" t="s">
        <v>1783</v>
      </c>
      <c r="J78" s="19" t="s">
        <v>95</v>
      </c>
      <c r="K78" s="24"/>
      <c r="L78" s="20" t="str">
        <f t="shared" si="2"/>
        <v/>
      </c>
      <c r="M78" s="21">
        <f t="shared" si="3"/>
        <v>7</v>
      </c>
    </row>
    <row r="79" spans="1:13" ht="15" customHeight="1">
      <c r="A79" s="17" t="s">
        <v>2082</v>
      </c>
      <c r="B79" s="17">
        <v>6</v>
      </c>
      <c r="C79" s="17" t="s">
        <v>130</v>
      </c>
      <c r="D79" s="17" t="s">
        <v>2083</v>
      </c>
      <c r="E79" s="18" t="s">
        <v>2084</v>
      </c>
      <c r="F79" s="17" t="s">
        <v>2085</v>
      </c>
      <c r="G79" s="24"/>
      <c r="H79" s="24"/>
      <c r="I79" s="19" t="s">
        <v>1783</v>
      </c>
      <c r="J79" s="19" t="s">
        <v>95</v>
      </c>
      <c r="K79" s="24"/>
      <c r="L79" s="20" t="str">
        <f t="shared" si="2"/>
        <v/>
      </c>
      <c r="M79" s="21">
        <f t="shared" si="3"/>
        <v>7</v>
      </c>
    </row>
    <row r="80" spans="1:13" ht="15" customHeight="1">
      <c r="A80" s="17" t="s">
        <v>2086</v>
      </c>
      <c r="B80" s="17">
        <v>6</v>
      </c>
      <c r="C80" s="17" t="s">
        <v>130</v>
      </c>
      <c r="D80" s="17" t="s">
        <v>2087</v>
      </c>
      <c r="E80" s="18" t="s">
        <v>2088</v>
      </c>
      <c r="F80" s="17" t="s">
        <v>2089</v>
      </c>
      <c r="G80" s="24"/>
      <c r="H80" s="24"/>
      <c r="I80" s="19" t="s">
        <v>1783</v>
      </c>
      <c r="J80" s="19" t="s">
        <v>95</v>
      </c>
      <c r="K80" s="24"/>
      <c r="L80" s="20" t="str">
        <f t="shared" si="2"/>
        <v/>
      </c>
      <c r="M80" s="21">
        <f t="shared" si="3"/>
        <v>8</v>
      </c>
    </row>
    <row r="81" spans="1:13" ht="15" customHeight="1">
      <c r="A81" s="17" t="s">
        <v>2090</v>
      </c>
      <c r="B81" s="17">
        <v>6</v>
      </c>
      <c r="C81" s="17" t="s">
        <v>130</v>
      </c>
      <c r="D81" s="17" t="s">
        <v>2091</v>
      </c>
      <c r="E81" s="18" t="s">
        <v>2092</v>
      </c>
      <c r="F81" s="17" t="s">
        <v>2093</v>
      </c>
      <c r="G81" s="24"/>
      <c r="H81" s="24"/>
      <c r="I81" s="19" t="s">
        <v>1783</v>
      </c>
      <c r="J81" s="19" t="s">
        <v>95</v>
      </c>
      <c r="K81" s="24"/>
      <c r="L81" s="20" t="str">
        <f t="shared" si="2"/>
        <v/>
      </c>
      <c r="M81" s="21">
        <f t="shared" si="3"/>
        <v>9</v>
      </c>
    </row>
    <row r="82" spans="1:13" ht="15" customHeight="1">
      <c r="A82" s="17" t="s">
        <v>2094</v>
      </c>
      <c r="B82" s="17">
        <v>3</v>
      </c>
      <c r="C82" s="17" t="s">
        <v>143</v>
      </c>
      <c r="D82" s="17" t="s">
        <v>2095</v>
      </c>
      <c r="E82" s="18" t="s">
        <v>2096</v>
      </c>
      <c r="F82" s="17" t="s">
        <v>2097</v>
      </c>
      <c r="G82" s="24"/>
      <c r="H82" s="24"/>
      <c r="I82" s="19" t="s">
        <v>1783</v>
      </c>
      <c r="J82" s="19" t="s">
        <v>95</v>
      </c>
      <c r="K82" s="24"/>
      <c r="L82" s="20" t="str">
        <f t="shared" si="2"/>
        <v/>
      </c>
      <c r="M82" s="21">
        <f t="shared" si="3"/>
        <v>5</v>
      </c>
    </row>
    <row r="83" spans="1:13" ht="15" customHeight="1">
      <c r="A83" s="17" t="s">
        <v>2098</v>
      </c>
      <c r="B83" s="17">
        <v>3</v>
      </c>
      <c r="C83" s="17" t="s">
        <v>143</v>
      </c>
      <c r="D83" s="17" t="s">
        <v>2099</v>
      </c>
      <c r="E83" s="18" t="s">
        <v>2100</v>
      </c>
      <c r="F83" s="17" t="s">
        <v>2101</v>
      </c>
      <c r="G83" s="24"/>
      <c r="H83" s="24"/>
      <c r="I83" s="19" t="s">
        <v>1783</v>
      </c>
      <c r="J83" s="19" t="s">
        <v>95</v>
      </c>
      <c r="K83" s="24"/>
      <c r="L83" s="20" t="str">
        <f t="shared" si="2"/>
        <v/>
      </c>
      <c r="M83" s="21">
        <f t="shared" si="3"/>
        <v>4</v>
      </c>
    </row>
    <row r="84" spans="1:13" ht="15" customHeight="1">
      <c r="A84" s="17" t="s">
        <v>2102</v>
      </c>
      <c r="B84" s="17">
        <v>3</v>
      </c>
      <c r="C84" s="17" t="s">
        <v>143</v>
      </c>
      <c r="D84" s="17" t="s">
        <v>2103</v>
      </c>
      <c r="E84" s="18" t="s">
        <v>2104</v>
      </c>
      <c r="F84" s="17" t="s">
        <v>2105</v>
      </c>
      <c r="G84" s="24"/>
      <c r="H84" s="24"/>
      <c r="I84" s="19" t="s">
        <v>1783</v>
      </c>
      <c r="J84" s="19" t="s">
        <v>95</v>
      </c>
      <c r="K84" s="24"/>
      <c r="L84" s="20" t="str">
        <f t="shared" si="2"/>
        <v/>
      </c>
      <c r="M84" s="21">
        <f t="shared" si="3"/>
        <v>5</v>
      </c>
    </row>
    <row r="85" spans="1:13" ht="15" customHeight="1">
      <c r="A85" s="17" t="s">
        <v>2106</v>
      </c>
      <c r="B85" s="17">
        <v>3</v>
      </c>
      <c r="C85" s="17" t="s">
        <v>143</v>
      </c>
      <c r="D85" s="17" t="s">
        <v>2107</v>
      </c>
      <c r="E85" s="18" t="s">
        <v>2108</v>
      </c>
      <c r="F85" s="17" t="s">
        <v>2109</v>
      </c>
      <c r="G85" s="24"/>
      <c r="H85" s="24"/>
      <c r="I85" s="19" t="s">
        <v>1783</v>
      </c>
      <c r="J85" s="19" t="s">
        <v>95</v>
      </c>
      <c r="K85" s="24"/>
      <c r="L85" s="20" t="str">
        <f t="shared" si="2"/>
        <v/>
      </c>
      <c r="M85" s="21">
        <f t="shared" si="3"/>
        <v>4</v>
      </c>
    </row>
    <row r="86" spans="1:13" ht="15" customHeight="1">
      <c r="A86" s="17" t="s">
        <v>2110</v>
      </c>
      <c r="B86" s="17">
        <v>3</v>
      </c>
      <c r="C86" s="17" t="s">
        <v>143</v>
      </c>
      <c r="D86" s="17" t="s">
        <v>2111</v>
      </c>
      <c r="E86" s="18" t="s">
        <v>2112</v>
      </c>
      <c r="F86" s="17" t="s">
        <v>2113</v>
      </c>
      <c r="G86" s="24"/>
      <c r="H86" s="24"/>
      <c r="I86" s="19" t="s">
        <v>1783</v>
      </c>
      <c r="J86" s="19" t="s">
        <v>95</v>
      </c>
      <c r="K86" s="24"/>
      <c r="L86" s="20" t="str">
        <f t="shared" si="2"/>
        <v/>
      </c>
      <c r="M86" s="21">
        <f t="shared" si="3"/>
        <v>3</v>
      </c>
    </row>
    <row r="87" spans="1:13" ht="15" customHeight="1">
      <c r="A87" s="17" t="s">
        <v>2114</v>
      </c>
      <c r="B87" s="17">
        <v>4</v>
      </c>
      <c r="C87" s="17" t="s">
        <v>143</v>
      </c>
      <c r="D87" s="17" t="s">
        <v>2115</v>
      </c>
      <c r="E87" s="18" t="s">
        <v>2116</v>
      </c>
      <c r="F87" s="17" t="s">
        <v>2117</v>
      </c>
      <c r="G87" s="24"/>
      <c r="H87" s="24"/>
      <c r="I87" s="19" t="s">
        <v>1783</v>
      </c>
      <c r="J87" s="19" t="s">
        <v>95</v>
      </c>
      <c r="K87" s="24"/>
      <c r="L87" s="20" t="str">
        <f t="shared" si="2"/>
        <v/>
      </c>
      <c r="M87" s="21">
        <f t="shared" si="3"/>
        <v>5</v>
      </c>
    </row>
    <row r="88" spans="1:13" ht="15" customHeight="1">
      <c r="A88" s="17" t="s">
        <v>2118</v>
      </c>
      <c r="B88" s="17">
        <v>4</v>
      </c>
      <c r="C88" s="17" t="s">
        <v>143</v>
      </c>
      <c r="D88" s="17" t="s">
        <v>2119</v>
      </c>
      <c r="E88" s="18" t="s">
        <v>2120</v>
      </c>
      <c r="F88" s="17" t="s">
        <v>2045</v>
      </c>
      <c r="G88" s="24"/>
      <c r="H88" s="24"/>
      <c r="I88" s="19" t="s">
        <v>1783</v>
      </c>
      <c r="J88" s="19" t="s">
        <v>95</v>
      </c>
      <c r="K88" s="24"/>
      <c r="L88" s="20" t="str">
        <f t="shared" si="2"/>
        <v/>
      </c>
      <c r="M88" s="21">
        <f t="shared" si="3"/>
        <v>6</v>
      </c>
    </row>
    <row r="89" spans="1:13" ht="15" customHeight="1">
      <c r="A89" s="17" t="s">
        <v>2121</v>
      </c>
      <c r="B89" s="17">
        <v>4</v>
      </c>
      <c r="C89" s="17" t="s">
        <v>143</v>
      </c>
      <c r="D89" s="17" t="s">
        <v>2122</v>
      </c>
      <c r="E89" s="18" t="s">
        <v>2123</v>
      </c>
      <c r="F89" s="17" t="s">
        <v>2124</v>
      </c>
      <c r="G89" s="24"/>
      <c r="H89" s="24"/>
      <c r="I89" s="19" t="s">
        <v>1783</v>
      </c>
      <c r="J89" s="19" t="s">
        <v>95</v>
      </c>
      <c r="K89" s="24"/>
      <c r="L89" s="20" t="str">
        <f t="shared" si="2"/>
        <v/>
      </c>
      <c r="M89" s="21">
        <f t="shared" si="3"/>
        <v>6</v>
      </c>
    </row>
    <row r="90" spans="1:13" ht="15" customHeight="1">
      <c r="A90" s="17" t="s">
        <v>2125</v>
      </c>
      <c r="B90" s="17">
        <v>4</v>
      </c>
      <c r="C90" s="17" t="s">
        <v>143</v>
      </c>
      <c r="D90" s="17" t="s">
        <v>2126</v>
      </c>
      <c r="E90" s="18" t="s">
        <v>2127</v>
      </c>
      <c r="F90" s="17" t="s">
        <v>2128</v>
      </c>
      <c r="G90" s="24"/>
      <c r="H90" s="24"/>
      <c r="I90" s="19" t="s">
        <v>1783</v>
      </c>
      <c r="J90" s="19" t="s">
        <v>95</v>
      </c>
      <c r="K90" s="24"/>
      <c r="L90" s="20" t="str">
        <f t="shared" si="2"/>
        <v/>
      </c>
      <c r="M90" s="21">
        <f t="shared" si="3"/>
        <v>4</v>
      </c>
    </row>
    <row r="91" spans="1:13" ht="15" customHeight="1">
      <c r="A91" s="17" t="s">
        <v>2129</v>
      </c>
      <c r="B91" s="17">
        <v>4</v>
      </c>
      <c r="C91" s="17" t="s">
        <v>143</v>
      </c>
      <c r="D91" s="17" t="s">
        <v>2130</v>
      </c>
      <c r="E91" s="18" t="s">
        <v>2131</v>
      </c>
      <c r="F91" s="17" t="s">
        <v>2132</v>
      </c>
      <c r="G91" s="24"/>
      <c r="H91" s="24"/>
      <c r="I91" s="19" t="s">
        <v>1783</v>
      </c>
      <c r="J91" s="19" t="s">
        <v>95</v>
      </c>
      <c r="K91" s="24"/>
      <c r="L91" s="20" t="str">
        <f t="shared" si="2"/>
        <v/>
      </c>
      <c r="M91" s="21">
        <f t="shared" si="3"/>
        <v>6</v>
      </c>
    </row>
    <row r="92" spans="1:13" ht="15" customHeight="1">
      <c r="A92" s="17" t="s">
        <v>2133</v>
      </c>
      <c r="B92" s="17">
        <v>5</v>
      </c>
      <c r="C92" s="17" t="s">
        <v>143</v>
      </c>
      <c r="D92" s="17" t="s">
        <v>2134</v>
      </c>
      <c r="E92" s="18" t="s">
        <v>2135</v>
      </c>
      <c r="F92" s="17" t="s">
        <v>2136</v>
      </c>
      <c r="G92" s="24"/>
      <c r="H92" s="24"/>
      <c r="I92" s="19" t="s">
        <v>1783</v>
      </c>
      <c r="J92" s="19" t="s">
        <v>95</v>
      </c>
      <c r="K92" s="24"/>
      <c r="L92" s="20" t="str">
        <f t="shared" si="2"/>
        <v/>
      </c>
      <c r="M92" s="21">
        <f t="shared" si="3"/>
        <v>9</v>
      </c>
    </row>
    <row r="93" spans="1:13" ht="15" customHeight="1">
      <c r="A93" s="17" t="s">
        <v>2137</v>
      </c>
      <c r="B93" s="17">
        <v>5</v>
      </c>
      <c r="C93" s="17" t="s">
        <v>143</v>
      </c>
      <c r="D93" s="17" t="s">
        <v>2138</v>
      </c>
      <c r="E93" s="18" t="s">
        <v>2139</v>
      </c>
      <c r="F93" s="17" t="s">
        <v>2140</v>
      </c>
      <c r="G93" s="24"/>
      <c r="H93" s="24"/>
      <c r="I93" s="19" t="s">
        <v>1783</v>
      </c>
      <c r="J93" s="19" t="s">
        <v>95</v>
      </c>
      <c r="K93" s="24"/>
      <c r="L93" s="20" t="str">
        <f t="shared" si="2"/>
        <v/>
      </c>
      <c r="M93" s="21">
        <f t="shared" si="3"/>
        <v>5</v>
      </c>
    </row>
    <row r="94" spans="1:13" ht="15" customHeight="1">
      <c r="A94" s="17" t="s">
        <v>2141</v>
      </c>
      <c r="B94" s="17">
        <v>5</v>
      </c>
      <c r="C94" s="17" t="s">
        <v>143</v>
      </c>
      <c r="D94" s="17" t="s">
        <v>2142</v>
      </c>
      <c r="E94" s="18" t="s">
        <v>2143</v>
      </c>
      <c r="F94" s="17" t="s">
        <v>2144</v>
      </c>
      <c r="G94" s="24"/>
      <c r="H94" s="24"/>
      <c r="I94" s="19" t="s">
        <v>1783</v>
      </c>
      <c r="J94" s="19" t="s">
        <v>95</v>
      </c>
      <c r="K94" s="24"/>
      <c r="L94" s="20" t="str">
        <f t="shared" si="2"/>
        <v/>
      </c>
      <c r="M94" s="21">
        <f t="shared" si="3"/>
        <v>7</v>
      </c>
    </row>
    <row r="95" spans="1:13" ht="15" customHeight="1">
      <c r="A95" s="17" t="s">
        <v>2145</v>
      </c>
      <c r="B95" s="17">
        <v>5</v>
      </c>
      <c r="C95" s="17" t="s">
        <v>143</v>
      </c>
      <c r="D95" s="17" t="s">
        <v>2146</v>
      </c>
      <c r="E95" s="18" t="s">
        <v>2147</v>
      </c>
      <c r="F95" s="17" t="s">
        <v>2148</v>
      </c>
      <c r="G95" s="24"/>
      <c r="H95" s="24"/>
      <c r="I95" s="19" t="s">
        <v>1783</v>
      </c>
      <c r="J95" s="19" t="s">
        <v>95</v>
      </c>
      <c r="K95" s="24"/>
      <c r="L95" s="20" t="str">
        <f t="shared" si="2"/>
        <v/>
      </c>
      <c r="M95" s="21">
        <f t="shared" si="3"/>
        <v>5</v>
      </c>
    </row>
    <row r="96" spans="1:13" ht="15" customHeight="1">
      <c r="A96" s="17" t="s">
        <v>2149</v>
      </c>
      <c r="B96" s="17">
        <v>5</v>
      </c>
      <c r="C96" s="17" t="s">
        <v>143</v>
      </c>
      <c r="D96" s="17" t="s">
        <v>2150</v>
      </c>
      <c r="E96" s="18" t="s">
        <v>2151</v>
      </c>
      <c r="F96" s="17" t="s">
        <v>2152</v>
      </c>
      <c r="G96" s="24"/>
      <c r="H96" s="24"/>
      <c r="I96" s="19" t="s">
        <v>1783</v>
      </c>
      <c r="J96" s="19" t="s">
        <v>95</v>
      </c>
      <c r="K96" s="24"/>
      <c r="L96" s="20" t="str">
        <f t="shared" si="2"/>
        <v/>
      </c>
      <c r="M96" s="21">
        <f t="shared" si="3"/>
        <v>4</v>
      </c>
    </row>
    <row r="97" spans="1:13" ht="15" customHeight="1">
      <c r="A97" s="17" t="s">
        <v>2153</v>
      </c>
      <c r="B97" s="17">
        <v>6</v>
      </c>
      <c r="C97" s="17" t="s">
        <v>143</v>
      </c>
      <c r="D97" s="17" t="s">
        <v>2154</v>
      </c>
      <c r="E97" s="18" t="s">
        <v>2155</v>
      </c>
      <c r="F97" s="17" t="s">
        <v>2156</v>
      </c>
      <c r="G97" s="24"/>
      <c r="H97" s="24"/>
      <c r="I97" s="19" t="s">
        <v>1783</v>
      </c>
      <c r="J97" s="19" t="s">
        <v>95</v>
      </c>
      <c r="K97" s="24"/>
      <c r="L97" s="20" t="str">
        <f t="shared" si="2"/>
        <v/>
      </c>
      <c r="M97" s="21">
        <f t="shared" si="3"/>
        <v>9</v>
      </c>
    </row>
    <row r="98" spans="1:13" ht="15" customHeight="1">
      <c r="A98" s="17" t="s">
        <v>2157</v>
      </c>
      <c r="B98" s="17">
        <v>6</v>
      </c>
      <c r="C98" s="17" t="s">
        <v>143</v>
      </c>
      <c r="D98" s="17" t="s">
        <v>2158</v>
      </c>
      <c r="E98" s="18" t="s">
        <v>2159</v>
      </c>
      <c r="F98" s="17" t="s">
        <v>2160</v>
      </c>
      <c r="G98" s="24"/>
      <c r="H98" s="24"/>
      <c r="I98" s="19" t="s">
        <v>1783</v>
      </c>
      <c r="J98" s="19" t="s">
        <v>95</v>
      </c>
      <c r="K98" s="24"/>
      <c r="L98" s="20" t="str">
        <f t="shared" si="2"/>
        <v/>
      </c>
      <c r="M98" s="21">
        <f t="shared" si="3"/>
        <v>10</v>
      </c>
    </row>
    <row r="99" spans="1:13" ht="15" customHeight="1">
      <c r="A99" s="17" t="s">
        <v>2161</v>
      </c>
      <c r="B99" s="17">
        <v>6</v>
      </c>
      <c r="C99" s="17" t="s">
        <v>143</v>
      </c>
      <c r="D99" s="17" t="s">
        <v>2162</v>
      </c>
      <c r="E99" s="18" t="s">
        <v>2163</v>
      </c>
      <c r="F99" s="17" t="s">
        <v>2164</v>
      </c>
      <c r="G99" s="24"/>
      <c r="H99" s="24"/>
      <c r="I99" s="19" t="s">
        <v>1783</v>
      </c>
      <c r="J99" s="19" t="s">
        <v>95</v>
      </c>
      <c r="K99" s="24"/>
      <c r="L99" s="20" t="str">
        <f t="shared" si="2"/>
        <v/>
      </c>
      <c r="M99" s="21">
        <f t="shared" si="3"/>
        <v>6</v>
      </c>
    </row>
    <row r="100" spans="1:13" ht="15" customHeight="1">
      <c r="A100" s="17" t="s">
        <v>2165</v>
      </c>
      <c r="B100" s="17">
        <v>6</v>
      </c>
      <c r="C100" s="17" t="s">
        <v>143</v>
      </c>
      <c r="D100" s="17" t="s">
        <v>2166</v>
      </c>
      <c r="E100" s="18" t="s">
        <v>2167</v>
      </c>
      <c r="F100" s="17" t="s">
        <v>2168</v>
      </c>
      <c r="G100" s="24"/>
      <c r="H100" s="24"/>
      <c r="I100" s="19" t="s">
        <v>1783</v>
      </c>
      <c r="J100" s="19" t="s">
        <v>95</v>
      </c>
      <c r="K100" s="24"/>
      <c r="L100" s="20" t="str">
        <f t="shared" si="2"/>
        <v/>
      </c>
      <c r="M100" s="21">
        <f t="shared" si="3"/>
        <v>8</v>
      </c>
    </row>
    <row r="101" spans="1:13" ht="15" customHeight="1">
      <c r="A101" s="17" t="s">
        <v>2169</v>
      </c>
      <c r="B101" s="17">
        <v>6</v>
      </c>
      <c r="C101" s="17" t="s">
        <v>143</v>
      </c>
      <c r="D101" s="17" t="s">
        <v>2170</v>
      </c>
      <c r="E101" s="18" t="s">
        <v>2171</v>
      </c>
      <c r="F101" s="17" t="s">
        <v>2172</v>
      </c>
      <c r="G101" s="24"/>
      <c r="H101" s="24"/>
      <c r="I101" s="19" t="s">
        <v>1783</v>
      </c>
      <c r="J101" s="19" t="s">
        <v>95</v>
      </c>
      <c r="K101" s="24"/>
      <c r="L101" s="20" t="str">
        <f t="shared" si="2"/>
        <v/>
      </c>
      <c r="M101" s="21">
        <f t="shared" si="3"/>
        <v>4</v>
      </c>
    </row>
    <row r="102" spans="1:13" ht="15" customHeight="1">
      <c r="A102" s="17" t="s">
        <v>2173</v>
      </c>
      <c r="B102" s="17">
        <v>3</v>
      </c>
      <c r="C102" s="17" t="s">
        <v>156</v>
      </c>
      <c r="D102" s="17" t="s">
        <v>2174</v>
      </c>
      <c r="E102" s="18" t="s">
        <v>2175</v>
      </c>
      <c r="F102" s="17" t="s">
        <v>2176</v>
      </c>
      <c r="G102" s="24"/>
      <c r="H102" s="24"/>
      <c r="I102" s="19" t="s">
        <v>1783</v>
      </c>
      <c r="J102" s="19" t="s">
        <v>95</v>
      </c>
      <c r="K102" s="24"/>
      <c r="L102" s="20" t="str">
        <f t="shared" si="2"/>
        <v/>
      </c>
      <c r="M102" s="21">
        <f t="shared" si="3"/>
        <v>3</v>
      </c>
    </row>
    <row r="103" spans="1:13" ht="15" customHeight="1">
      <c r="A103" s="17" t="s">
        <v>2177</v>
      </c>
      <c r="B103" s="17">
        <v>3</v>
      </c>
      <c r="C103" s="17" t="s">
        <v>156</v>
      </c>
      <c r="D103" s="17" t="s">
        <v>2178</v>
      </c>
      <c r="E103" s="18" t="s">
        <v>2179</v>
      </c>
      <c r="F103" s="17" t="s">
        <v>2180</v>
      </c>
      <c r="G103" s="24"/>
      <c r="H103" s="24"/>
      <c r="I103" s="19" t="s">
        <v>1783</v>
      </c>
      <c r="J103" s="19" t="s">
        <v>95</v>
      </c>
      <c r="K103" s="24"/>
      <c r="L103" s="20" t="str">
        <f t="shared" si="2"/>
        <v/>
      </c>
      <c r="M103" s="21">
        <f t="shared" si="3"/>
        <v>4</v>
      </c>
    </row>
    <row r="104" spans="1:13" ht="15" customHeight="1">
      <c r="A104" s="17" t="s">
        <v>2181</v>
      </c>
      <c r="B104" s="17">
        <v>3</v>
      </c>
      <c r="C104" s="17" t="s">
        <v>156</v>
      </c>
      <c r="D104" s="17" t="s">
        <v>2182</v>
      </c>
      <c r="E104" s="18" t="s">
        <v>2183</v>
      </c>
      <c r="F104" s="17" t="s">
        <v>2184</v>
      </c>
      <c r="G104" s="24"/>
      <c r="H104" s="24"/>
      <c r="I104" s="19" t="s">
        <v>1783</v>
      </c>
      <c r="J104" s="19" t="s">
        <v>95</v>
      </c>
      <c r="K104" s="24"/>
      <c r="L104" s="20" t="str">
        <f t="shared" si="2"/>
        <v/>
      </c>
      <c r="M104" s="21">
        <f t="shared" si="3"/>
        <v>6</v>
      </c>
    </row>
    <row r="105" spans="1:13" ht="15" customHeight="1">
      <c r="A105" s="17" t="s">
        <v>2185</v>
      </c>
      <c r="B105" s="17">
        <v>3</v>
      </c>
      <c r="C105" s="17" t="s">
        <v>156</v>
      </c>
      <c r="D105" s="17" t="s">
        <v>2186</v>
      </c>
      <c r="E105" s="18" t="s">
        <v>2187</v>
      </c>
      <c r="F105" s="17" t="s">
        <v>2188</v>
      </c>
      <c r="G105" s="24"/>
      <c r="H105" s="24"/>
      <c r="I105" s="19" t="s">
        <v>1783</v>
      </c>
      <c r="J105" s="19" t="s">
        <v>95</v>
      </c>
      <c r="K105" s="24"/>
      <c r="L105" s="20" t="str">
        <f t="shared" si="2"/>
        <v/>
      </c>
      <c r="M105" s="21">
        <f t="shared" si="3"/>
        <v>5</v>
      </c>
    </row>
    <row r="106" spans="1:13" ht="15" customHeight="1">
      <c r="A106" s="17" t="s">
        <v>2189</v>
      </c>
      <c r="B106" s="17">
        <v>3</v>
      </c>
      <c r="C106" s="17" t="s">
        <v>156</v>
      </c>
      <c r="D106" s="17" t="s">
        <v>2190</v>
      </c>
      <c r="E106" s="18" t="s">
        <v>2191</v>
      </c>
      <c r="F106" s="17" t="s">
        <v>2192</v>
      </c>
      <c r="G106" s="24"/>
      <c r="H106" s="24"/>
      <c r="I106" s="19" t="s">
        <v>1783</v>
      </c>
      <c r="J106" s="19" t="s">
        <v>95</v>
      </c>
      <c r="K106" s="24"/>
      <c r="L106" s="20" t="str">
        <f t="shared" si="2"/>
        <v/>
      </c>
      <c r="M106" s="21">
        <f t="shared" si="3"/>
        <v>5</v>
      </c>
    </row>
    <row r="107" spans="1:13" ht="15" customHeight="1">
      <c r="A107" s="17" t="s">
        <v>2193</v>
      </c>
      <c r="B107" s="17">
        <v>4</v>
      </c>
      <c r="C107" s="17" t="s">
        <v>156</v>
      </c>
      <c r="D107" s="17" t="s">
        <v>2194</v>
      </c>
      <c r="E107" s="18" t="s">
        <v>2195</v>
      </c>
      <c r="F107" s="17" t="s">
        <v>2196</v>
      </c>
      <c r="G107" s="24"/>
      <c r="H107" s="24"/>
      <c r="I107" s="19" t="s">
        <v>1783</v>
      </c>
      <c r="J107" s="19" t="s">
        <v>95</v>
      </c>
      <c r="K107" s="24"/>
      <c r="L107" s="20" t="str">
        <f t="shared" si="2"/>
        <v/>
      </c>
      <c r="M107" s="21">
        <f t="shared" si="3"/>
        <v>5</v>
      </c>
    </row>
    <row r="108" spans="1:13" ht="15" customHeight="1">
      <c r="A108" s="17" t="s">
        <v>2197</v>
      </c>
      <c r="B108" s="17">
        <v>4</v>
      </c>
      <c r="C108" s="17" t="s">
        <v>156</v>
      </c>
      <c r="D108" s="17" t="s">
        <v>2198</v>
      </c>
      <c r="E108" s="18" t="s">
        <v>2199</v>
      </c>
      <c r="F108" s="17" t="s">
        <v>2200</v>
      </c>
      <c r="G108" s="24"/>
      <c r="H108" s="24"/>
      <c r="I108" s="19" t="s">
        <v>1783</v>
      </c>
      <c r="J108" s="19" t="s">
        <v>95</v>
      </c>
      <c r="K108" s="24"/>
      <c r="L108" s="20" t="str">
        <f t="shared" si="2"/>
        <v/>
      </c>
      <c r="M108" s="21">
        <f t="shared" si="3"/>
        <v>4</v>
      </c>
    </row>
    <row r="109" spans="1:13" ht="15" customHeight="1">
      <c r="A109" s="17" t="s">
        <v>2201</v>
      </c>
      <c r="B109" s="17">
        <v>4</v>
      </c>
      <c r="C109" s="17" t="s">
        <v>156</v>
      </c>
      <c r="D109" s="17" t="s">
        <v>2202</v>
      </c>
      <c r="E109" s="18" t="s">
        <v>2203</v>
      </c>
      <c r="F109" s="17" t="s">
        <v>2204</v>
      </c>
      <c r="G109" s="24"/>
      <c r="H109" s="24"/>
      <c r="I109" s="19" t="s">
        <v>1783</v>
      </c>
      <c r="J109" s="19" t="s">
        <v>95</v>
      </c>
      <c r="K109" s="24"/>
      <c r="L109" s="20" t="str">
        <f t="shared" si="2"/>
        <v/>
      </c>
      <c r="M109" s="21">
        <f t="shared" si="3"/>
        <v>6</v>
      </c>
    </row>
    <row r="110" spans="1:13" ht="15" customHeight="1">
      <c r="A110" s="17" t="s">
        <v>2205</v>
      </c>
      <c r="B110" s="17">
        <v>4</v>
      </c>
      <c r="C110" s="17" t="s">
        <v>156</v>
      </c>
      <c r="D110" s="17" t="s">
        <v>2206</v>
      </c>
      <c r="E110" s="18" t="s">
        <v>2207</v>
      </c>
      <c r="F110" s="17" t="s">
        <v>2208</v>
      </c>
      <c r="G110" s="24"/>
      <c r="H110" s="24"/>
      <c r="I110" s="19" t="s">
        <v>1783</v>
      </c>
      <c r="J110" s="19" t="s">
        <v>95</v>
      </c>
      <c r="K110" s="24"/>
      <c r="L110" s="20" t="str">
        <f t="shared" si="2"/>
        <v/>
      </c>
      <c r="M110" s="21">
        <f t="shared" si="3"/>
        <v>6</v>
      </c>
    </row>
    <row r="111" spans="1:13" ht="15" customHeight="1">
      <c r="A111" s="17" t="s">
        <v>2209</v>
      </c>
      <c r="B111" s="17">
        <v>4</v>
      </c>
      <c r="C111" s="17" t="s">
        <v>156</v>
      </c>
      <c r="D111" s="17" t="s">
        <v>2210</v>
      </c>
      <c r="E111" s="18" t="s">
        <v>2211</v>
      </c>
      <c r="F111" s="17" t="s">
        <v>2212</v>
      </c>
      <c r="G111" s="24"/>
      <c r="H111" s="24"/>
      <c r="I111" s="19" t="s">
        <v>1783</v>
      </c>
      <c r="J111" s="19" t="s">
        <v>95</v>
      </c>
      <c r="K111" s="24"/>
      <c r="L111" s="20" t="str">
        <f t="shared" si="2"/>
        <v/>
      </c>
      <c r="M111" s="21">
        <f t="shared" si="3"/>
        <v>5</v>
      </c>
    </row>
    <row r="112" spans="1:13" ht="15" customHeight="1">
      <c r="A112" s="17" t="s">
        <v>2213</v>
      </c>
      <c r="B112" s="17">
        <v>5</v>
      </c>
      <c r="C112" s="17" t="s">
        <v>156</v>
      </c>
      <c r="D112" s="17" t="s">
        <v>2214</v>
      </c>
      <c r="E112" s="18" t="s">
        <v>2215</v>
      </c>
      <c r="F112" s="17" t="s">
        <v>2216</v>
      </c>
      <c r="G112" s="24"/>
      <c r="H112" s="24"/>
      <c r="I112" s="19" t="s">
        <v>1783</v>
      </c>
      <c r="J112" s="19" t="s">
        <v>95</v>
      </c>
      <c r="K112" s="24"/>
      <c r="L112" s="20" t="str">
        <f t="shared" si="2"/>
        <v/>
      </c>
      <c r="M112" s="21">
        <f t="shared" si="3"/>
        <v>4</v>
      </c>
    </row>
    <row r="113" spans="1:13" ht="15" customHeight="1">
      <c r="A113" s="17" t="s">
        <v>2217</v>
      </c>
      <c r="B113" s="17">
        <v>5</v>
      </c>
      <c r="C113" s="17" t="s">
        <v>156</v>
      </c>
      <c r="D113" s="17" t="s">
        <v>2218</v>
      </c>
      <c r="E113" s="18" t="s">
        <v>2219</v>
      </c>
      <c r="F113" s="17" t="s">
        <v>2220</v>
      </c>
      <c r="G113" s="24"/>
      <c r="H113" s="24"/>
      <c r="I113" s="19" t="s">
        <v>1783</v>
      </c>
      <c r="J113" s="19" t="s">
        <v>95</v>
      </c>
      <c r="K113" s="24"/>
      <c r="L113" s="20" t="str">
        <f t="shared" si="2"/>
        <v/>
      </c>
      <c r="M113" s="21">
        <f t="shared" si="3"/>
        <v>4</v>
      </c>
    </row>
    <row r="114" spans="1:13" ht="15" customHeight="1">
      <c r="A114" s="17" t="s">
        <v>2221</v>
      </c>
      <c r="B114" s="17">
        <v>5</v>
      </c>
      <c r="C114" s="17" t="s">
        <v>156</v>
      </c>
      <c r="D114" s="17" t="s">
        <v>2222</v>
      </c>
      <c r="E114" s="18" t="s">
        <v>2223</v>
      </c>
      <c r="F114" s="17" t="s">
        <v>2224</v>
      </c>
      <c r="G114" s="24"/>
      <c r="H114" s="24"/>
      <c r="I114" s="19" t="s">
        <v>1783</v>
      </c>
      <c r="J114" s="19" t="s">
        <v>95</v>
      </c>
      <c r="K114" s="24"/>
      <c r="L114" s="20" t="str">
        <f t="shared" si="2"/>
        <v/>
      </c>
      <c r="M114" s="21">
        <f t="shared" si="3"/>
        <v>6</v>
      </c>
    </row>
    <row r="115" spans="1:13" ht="15" customHeight="1">
      <c r="A115" s="17" t="s">
        <v>2225</v>
      </c>
      <c r="B115" s="17">
        <v>5</v>
      </c>
      <c r="C115" s="17" t="s">
        <v>156</v>
      </c>
      <c r="D115" s="17" t="s">
        <v>2226</v>
      </c>
      <c r="E115" s="18" t="s">
        <v>2227</v>
      </c>
      <c r="F115" s="17" t="s">
        <v>2228</v>
      </c>
      <c r="G115" s="24"/>
      <c r="H115" s="24"/>
      <c r="I115" s="19" t="s">
        <v>1783</v>
      </c>
      <c r="J115" s="19" t="s">
        <v>95</v>
      </c>
      <c r="K115" s="24"/>
      <c r="L115" s="20" t="str">
        <f t="shared" si="2"/>
        <v/>
      </c>
      <c r="M115" s="21">
        <f t="shared" si="3"/>
        <v>8</v>
      </c>
    </row>
    <row r="116" spans="1:13" ht="15" customHeight="1">
      <c r="A116" s="17" t="s">
        <v>2229</v>
      </c>
      <c r="B116" s="17">
        <v>5</v>
      </c>
      <c r="C116" s="17" t="s">
        <v>156</v>
      </c>
      <c r="D116" s="17" t="s">
        <v>2230</v>
      </c>
      <c r="E116" s="18" t="s">
        <v>2231</v>
      </c>
      <c r="F116" s="17" t="s">
        <v>2232</v>
      </c>
      <c r="G116" s="24"/>
      <c r="H116" s="24"/>
      <c r="I116" s="19" t="s">
        <v>1783</v>
      </c>
      <c r="J116" s="19" t="s">
        <v>95</v>
      </c>
      <c r="K116" s="24"/>
      <c r="L116" s="20" t="str">
        <f t="shared" si="2"/>
        <v/>
      </c>
      <c r="M116" s="21">
        <f t="shared" si="3"/>
        <v>6</v>
      </c>
    </row>
    <row r="117" spans="1:13" ht="15" customHeight="1">
      <c r="A117" s="17" t="s">
        <v>2233</v>
      </c>
      <c r="B117" s="17">
        <v>6</v>
      </c>
      <c r="C117" s="17" t="s">
        <v>156</v>
      </c>
      <c r="D117" s="17" t="s">
        <v>2234</v>
      </c>
      <c r="E117" s="18" t="s">
        <v>2235</v>
      </c>
      <c r="F117" s="17" t="s">
        <v>2236</v>
      </c>
      <c r="G117" s="24"/>
      <c r="H117" s="24"/>
      <c r="I117" s="19" t="s">
        <v>1783</v>
      </c>
      <c r="J117" s="19" t="s">
        <v>95</v>
      </c>
      <c r="K117" s="24"/>
      <c r="L117" s="20" t="str">
        <f t="shared" si="2"/>
        <v/>
      </c>
      <c r="M117" s="21">
        <f t="shared" si="3"/>
        <v>5</v>
      </c>
    </row>
    <row r="118" spans="1:13" ht="15" customHeight="1">
      <c r="A118" s="17" t="s">
        <v>2237</v>
      </c>
      <c r="B118" s="17">
        <v>6</v>
      </c>
      <c r="C118" s="17" t="s">
        <v>156</v>
      </c>
      <c r="D118" s="17" t="s">
        <v>2238</v>
      </c>
      <c r="E118" s="18" t="s">
        <v>2239</v>
      </c>
      <c r="F118" s="17" t="s">
        <v>2240</v>
      </c>
      <c r="G118" s="24"/>
      <c r="H118" s="24"/>
      <c r="I118" s="19" t="s">
        <v>1783</v>
      </c>
      <c r="J118" s="19" t="s">
        <v>95</v>
      </c>
      <c r="K118" s="24"/>
      <c r="L118" s="20" t="str">
        <f t="shared" si="2"/>
        <v/>
      </c>
      <c r="M118" s="21">
        <f t="shared" si="3"/>
        <v>4</v>
      </c>
    </row>
    <row r="119" spans="1:13" ht="15" customHeight="1">
      <c r="A119" s="17" t="s">
        <v>2241</v>
      </c>
      <c r="B119" s="17">
        <v>6</v>
      </c>
      <c r="C119" s="17" t="s">
        <v>156</v>
      </c>
      <c r="D119" s="17" t="s">
        <v>2242</v>
      </c>
      <c r="E119" s="18" t="s">
        <v>2243</v>
      </c>
      <c r="F119" s="17" t="s">
        <v>928</v>
      </c>
      <c r="G119" s="24"/>
      <c r="H119" s="24"/>
      <c r="I119" s="19" t="s">
        <v>1783</v>
      </c>
      <c r="J119" s="19" t="s">
        <v>95</v>
      </c>
      <c r="K119" s="24"/>
      <c r="L119" s="20" t="str">
        <f t="shared" si="2"/>
        <v/>
      </c>
      <c r="M119" s="21">
        <f t="shared" si="3"/>
        <v>4</v>
      </c>
    </row>
    <row r="120" spans="1:13" ht="15" customHeight="1">
      <c r="A120" s="17" t="s">
        <v>2244</v>
      </c>
      <c r="B120" s="17">
        <v>6</v>
      </c>
      <c r="C120" s="17" t="s">
        <v>156</v>
      </c>
      <c r="D120" s="17" t="s">
        <v>2245</v>
      </c>
      <c r="E120" s="18" t="s">
        <v>2246</v>
      </c>
      <c r="F120" s="17" t="s">
        <v>2247</v>
      </c>
      <c r="G120" s="24"/>
      <c r="H120" s="24"/>
      <c r="I120" s="19" t="s">
        <v>1783</v>
      </c>
      <c r="J120" s="19" t="s">
        <v>95</v>
      </c>
      <c r="K120" s="24"/>
      <c r="L120" s="20" t="str">
        <f t="shared" si="2"/>
        <v/>
      </c>
      <c r="M120" s="21">
        <f t="shared" si="3"/>
        <v>5</v>
      </c>
    </row>
    <row r="121" spans="1:13" ht="15" customHeight="1">
      <c r="A121" s="17" t="s">
        <v>2248</v>
      </c>
      <c r="B121" s="17">
        <v>6</v>
      </c>
      <c r="C121" s="17" t="s">
        <v>156</v>
      </c>
      <c r="D121" s="17" t="s">
        <v>2249</v>
      </c>
      <c r="E121" s="18" t="s">
        <v>2250</v>
      </c>
      <c r="F121" s="17" t="s">
        <v>2251</v>
      </c>
      <c r="G121" s="24"/>
      <c r="H121" s="24"/>
      <c r="I121" s="19" t="s">
        <v>1783</v>
      </c>
      <c r="J121" s="19" t="s">
        <v>95</v>
      </c>
      <c r="K121" s="24"/>
      <c r="L121" s="20" t="str">
        <f t="shared" si="2"/>
        <v/>
      </c>
      <c r="M121" s="21">
        <f t="shared" si="3"/>
        <v>3</v>
      </c>
    </row>
    <row r="122" spans="1:13" ht="15" customHeight="1">
      <c r="A122" s="17" t="s">
        <v>2252</v>
      </c>
      <c r="B122" s="17">
        <v>3</v>
      </c>
      <c r="C122" s="17" t="s">
        <v>163</v>
      </c>
      <c r="D122" s="17" t="s">
        <v>2253</v>
      </c>
      <c r="E122" s="18" t="s">
        <v>2254</v>
      </c>
      <c r="F122" s="17" t="s">
        <v>937</v>
      </c>
      <c r="G122" s="24"/>
      <c r="H122" s="24"/>
      <c r="I122" s="19" t="s">
        <v>1783</v>
      </c>
      <c r="J122" s="19" t="s">
        <v>95</v>
      </c>
      <c r="K122" s="24"/>
      <c r="L122" s="20" t="str">
        <f t="shared" si="2"/>
        <v/>
      </c>
      <c r="M122" s="21">
        <f t="shared" si="3"/>
        <v>3</v>
      </c>
    </row>
    <row r="123" spans="1:13" ht="15" customHeight="1">
      <c r="A123" s="17" t="s">
        <v>2255</v>
      </c>
      <c r="B123" s="17">
        <v>3</v>
      </c>
      <c r="C123" s="17" t="s">
        <v>163</v>
      </c>
      <c r="D123" s="17" t="s">
        <v>2256</v>
      </c>
      <c r="E123" s="18" t="s">
        <v>2257</v>
      </c>
      <c r="F123" s="17" t="s">
        <v>2258</v>
      </c>
      <c r="G123" s="24"/>
      <c r="H123" s="24"/>
      <c r="I123" s="19" t="s">
        <v>1783</v>
      </c>
      <c r="J123" s="19" t="s">
        <v>95</v>
      </c>
      <c r="K123" s="24"/>
      <c r="L123" s="20" t="str">
        <f t="shared" si="2"/>
        <v/>
      </c>
      <c r="M123" s="21">
        <f t="shared" si="3"/>
        <v>3</v>
      </c>
    </row>
    <row r="124" spans="1:13" ht="15" customHeight="1">
      <c r="A124" s="17" t="s">
        <v>2259</v>
      </c>
      <c r="B124" s="17">
        <v>3</v>
      </c>
      <c r="C124" s="17" t="s">
        <v>163</v>
      </c>
      <c r="D124" s="17" t="s">
        <v>2260</v>
      </c>
      <c r="E124" s="18" t="s">
        <v>2261</v>
      </c>
      <c r="F124" s="17" t="s">
        <v>2262</v>
      </c>
      <c r="G124" s="24"/>
      <c r="H124" s="24"/>
      <c r="I124" s="19" t="s">
        <v>1783</v>
      </c>
      <c r="J124" s="19" t="s">
        <v>95</v>
      </c>
      <c r="K124" s="24"/>
      <c r="L124" s="20" t="str">
        <f t="shared" si="2"/>
        <v/>
      </c>
      <c r="M124" s="21">
        <f t="shared" si="3"/>
        <v>5</v>
      </c>
    </row>
    <row r="125" spans="1:13" ht="15" customHeight="1">
      <c r="A125" s="17" t="s">
        <v>2263</v>
      </c>
      <c r="B125" s="17">
        <v>3</v>
      </c>
      <c r="C125" s="17" t="s">
        <v>163</v>
      </c>
      <c r="D125" s="17" t="s">
        <v>2264</v>
      </c>
      <c r="E125" s="18" t="s">
        <v>2265</v>
      </c>
      <c r="F125" s="17" t="s">
        <v>2266</v>
      </c>
      <c r="G125" s="24"/>
      <c r="H125" s="24"/>
      <c r="I125" s="19" t="s">
        <v>1783</v>
      </c>
      <c r="J125" s="19" t="s">
        <v>95</v>
      </c>
      <c r="K125" s="24"/>
      <c r="L125" s="20" t="str">
        <f t="shared" si="2"/>
        <v/>
      </c>
      <c r="M125" s="21">
        <f t="shared" si="3"/>
        <v>4</v>
      </c>
    </row>
    <row r="126" spans="1:13" ht="15" customHeight="1">
      <c r="A126" s="17" t="s">
        <v>2267</v>
      </c>
      <c r="B126" s="17">
        <v>3</v>
      </c>
      <c r="C126" s="17" t="s">
        <v>163</v>
      </c>
      <c r="D126" s="17" t="s">
        <v>2268</v>
      </c>
      <c r="E126" s="18" t="s">
        <v>2269</v>
      </c>
      <c r="F126" s="17" t="s">
        <v>2270</v>
      </c>
      <c r="G126" s="24"/>
      <c r="H126" s="24"/>
      <c r="I126" s="19" t="s">
        <v>1783</v>
      </c>
      <c r="J126" s="19" t="s">
        <v>95</v>
      </c>
      <c r="K126" s="24"/>
      <c r="L126" s="20" t="str">
        <f t="shared" si="2"/>
        <v/>
      </c>
      <c r="M126" s="21">
        <f t="shared" si="3"/>
        <v>4</v>
      </c>
    </row>
    <row r="127" spans="1:13" ht="15" customHeight="1">
      <c r="A127" s="17" t="s">
        <v>2271</v>
      </c>
      <c r="B127" s="17">
        <v>4</v>
      </c>
      <c r="C127" s="17" t="s">
        <v>163</v>
      </c>
      <c r="D127" s="17" t="s">
        <v>2272</v>
      </c>
      <c r="E127" s="18" t="s">
        <v>2273</v>
      </c>
      <c r="F127" s="17" t="s">
        <v>2274</v>
      </c>
      <c r="G127" s="24"/>
      <c r="H127" s="24"/>
      <c r="I127" s="19" t="s">
        <v>1783</v>
      </c>
      <c r="J127" s="19" t="s">
        <v>95</v>
      </c>
      <c r="K127" s="24"/>
      <c r="L127" s="20" t="str">
        <f t="shared" si="2"/>
        <v/>
      </c>
      <c r="M127" s="21">
        <f t="shared" si="3"/>
        <v>3</v>
      </c>
    </row>
    <row r="128" spans="1:13" ht="15" customHeight="1">
      <c r="A128" s="17" t="s">
        <v>2275</v>
      </c>
      <c r="B128" s="17">
        <v>4</v>
      </c>
      <c r="C128" s="17" t="s">
        <v>163</v>
      </c>
      <c r="D128" s="17" t="s">
        <v>2276</v>
      </c>
      <c r="E128" s="18" t="s">
        <v>2277</v>
      </c>
      <c r="F128" s="17" t="s">
        <v>2278</v>
      </c>
      <c r="G128" s="24"/>
      <c r="H128" s="24"/>
      <c r="I128" s="19" t="s">
        <v>1783</v>
      </c>
      <c r="J128" s="19" t="s">
        <v>95</v>
      </c>
      <c r="K128" s="24"/>
      <c r="L128" s="20" t="str">
        <f t="shared" si="2"/>
        <v/>
      </c>
      <c r="M128" s="21">
        <f t="shared" si="3"/>
        <v>5</v>
      </c>
    </row>
    <row r="129" spans="1:13" ht="15" customHeight="1">
      <c r="A129" s="17" t="s">
        <v>2279</v>
      </c>
      <c r="B129" s="17">
        <v>4</v>
      </c>
      <c r="C129" s="17" t="s">
        <v>163</v>
      </c>
      <c r="D129" s="17" t="s">
        <v>2280</v>
      </c>
      <c r="E129" s="18" t="s">
        <v>2281</v>
      </c>
      <c r="F129" s="17" t="s">
        <v>2282</v>
      </c>
      <c r="G129" s="24"/>
      <c r="H129" s="24"/>
      <c r="I129" s="19" t="s">
        <v>1783</v>
      </c>
      <c r="J129" s="19" t="s">
        <v>95</v>
      </c>
      <c r="K129" s="24"/>
      <c r="L129" s="20" t="str">
        <f t="shared" si="2"/>
        <v/>
      </c>
      <c r="M129" s="21">
        <f t="shared" si="3"/>
        <v>5</v>
      </c>
    </row>
    <row r="130" spans="1:13" ht="15" customHeight="1">
      <c r="A130" s="17" t="s">
        <v>2283</v>
      </c>
      <c r="B130" s="17">
        <v>4</v>
      </c>
      <c r="C130" s="17" t="s">
        <v>163</v>
      </c>
      <c r="D130" s="17" t="s">
        <v>2284</v>
      </c>
      <c r="E130" s="18" t="s">
        <v>2285</v>
      </c>
      <c r="F130" s="17" t="s">
        <v>2286</v>
      </c>
      <c r="G130" s="24"/>
      <c r="H130" s="24"/>
      <c r="I130" s="19" t="s">
        <v>1783</v>
      </c>
      <c r="J130" s="19" t="s">
        <v>95</v>
      </c>
      <c r="K130" s="24"/>
      <c r="L130" s="20" t="str">
        <f t="shared" ref="L130:L193" si="4">IF(A130="","",IF(COUNTIF($A$2:$A$401,A130)&gt;1,"중복",""))</f>
        <v/>
      </c>
      <c r="M130" s="21">
        <f t="shared" ref="M130:M193" si="5">IF(D130="","",LEN(D130))</f>
        <v>4</v>
      </c>
    </row>
    <row r="131" spans="1:13" ht="15" customHeight="1">
      <c r="A131" s="17" t="s">
        <v>2287</v>
      </c>
      <c r="B131" s="17">
        <v>4</v>
      </c>
      <c r="C131" s="17" t="s">
        <v>163</v>
      </c>
      <c r="D131" s="17" t="s">
        <v>2288</v>
      </c>
      <c r="E131" s="18" t="s">
        <v>2289</v>
      </c>
      <c r="F131" s="17" t="s">
        <v>2290</v>
      </c>
      <c r="G131" s="24"/>
      <c r="H131" s="24"/>
      <c r="I131" s="19" t="s">
        <v>1783</v>
      </c>
      <c r="J131" s="19" t="s">
        <v>95</v>
      </c>
      <c r="K131" s="24"/>
      <c r="L131" s="20" t="str">
        <f t="shared" si="4"/>
        <v/>
      </c>
      <c r="M131" s="21">
        <f t="shared" si="5"/>
        <v>3</v>
      </c>
    </row>
    <row r="132" spans="1:13" ht="15" customHeight="1">
      <c r="A132" s="17" t="s">
        <v>2291</v>
      </c>
      <c r="B132" s="17">
        <v>5</v>
      </c>
      <c r="C132" s="17" t="s">
        <v>163</v>
      </c>
      <c r="D132" s="17" t="s">
        <v>2292</v>
      </c>
      <c r="E132" s="18" t="s">
        <v>2293</v>
      </c>
      <c r="F132" s="17" t="s">
        <v>2294</v>
      </c>
      <c r="G132" s="24"/>
      <c r="H132" s="24"/>
      <c r="I132" s="19" t="s">
        <v>1783</v>
      </c>
      <c r="J132" s="19" t="s">
        <v>95</v>
      </c>
      <c r="K132" s="24"/>
      <c r="L132" s="20" t="str">
        <f t="shared" si="4"/>
        <v/>
      </c>
      <c r="M132" s="21">
        <f t="shared" si="5"/>
        <v>7</v>
      </c>
    </row>
    <row r="133" spans="1:13" ht="15" customHeight="1">
      <c r="A133" s="17" t="s">
        <v>2295</v>
      </c>
      <c r="B133" s="17">
        <v>5</v>
      </c>
      <c r="C133" s="17" t="s">
        <v>163</v>
      </c>
      <c r="D133" s="17" t="s">
        <v>2296</v>
      </c>
      <c r="E133" s="18" t="s">
        <v>2297</v>
      </c>
      <c r="F133" s="17" t="s">
        <v>2298</v>
      </c>
      <c r="G133" s="24"/>
      <c r="H133" s="24"/>
      <c r="I133" s="19" t="s">
        <v>1783</v>
      </c>
      <c r="J133" s="19" t="s">
        <v>95</v>
      </c>
      <c r="K133" s="24"/>
      <c r="L133" s="20" t="str">
        <f t="shared" si="4"/>
        <v/>
      </c>
      <c r="M133" s="21">
        <f t="shared" si="5"/>
        <v>8</v>
      </c>
    </row>
    <row r="134" spans="1:13" ht="15" customHeight="1">
      <c r="A134" s="17" t="s">
        <v>2299</v>
      </c>
      <c r="B134" s="17">
        <v>5</v>
      </c>
      <c r="C134" s="17" t="s">
        <v>163</v>
      </c>
      <c r="D134" s="17" t="s">
        <v>2300</v>
      </c>
      <c r="E134" s="18" t="s">
        <v>2301</v>
      </c>
      <c r="F134" s="17" t="s">
        <v>972</v>
      </c>
      <c r="G134" s="24"/>
      <c r="H134" s="24"/>
      <c r="I134" s="19" t="s">
        <v>1783</v>
      </c>
      <c r="J134" s="19" t="s">
        <v>95</v>
      </c>
      <c r="K134" s="24"/>
      <c r="L134" s="20" t="str">
        <f t="shared" si="4"/>
        <v/>
      </c>
      <c r="M134" s="21">
        <f t="shared" si="5"/>
        <v>5</v>
      </c>
    </row>
    <row r="135" spans="1:13" ht="15" customHeight="1">
      <c r="A135" s="17" t="s">
        <v>2302</v>
      </c>
      <c r="B135" s="17">
        <v>5</v>
      </c>
      <c r="C135" s="17" t="s">
        <v>163</v>
      </c>
      <c r="D135" s="17" t="s">
        <v>2303</v>
      </c>
      <c r="E135" s="18" t="s">
        <v>2304</v>
      </c>
      <c r="F135" s="17" t="s">
        <v>975</v>
      </c>
      <c r="G135" s="24"/>
      <c r="H135" s="24"/>
      <c r="I135" s="19" t="s">
        <v>1783</v>
      </c>
      <c r="J135" s="19" t="s">
        <v>95</v>
      </c>
      <c r="K135" s="24"/>
      <c r="L135" s="20" t="str">
        <f t="shared" si="4"/>
        <v/>
      </c>
      <c r="M135" s="21">
        <f t="shared" si="5"/>
        <v>5</v>
      </c>
    </row>
    <row r="136" spans="1:13" ht="15" customHeight="1">
      <c r="A136" s="17" t="s">
        <v>2305</v>
      </c>
      <c r="B136" s="17">
        <v>5</v>
      </c>
      <c r="C136" s="17" t="s">
        <v>163</v>
      </c>
      <c r="D136" s="17" t="s">
        <v>2306</v>
      </c>
      <c r="E136" s="18" t="s">
        <v>2307</v>
      </c>
      <c r="F136" s="17" t="s">
        <v>2308</v>
      </c>
      <c r="G136" s="24"/>
      <c r="H136" s="24"/>
      <c r="I136" s="19" t="s">
        <v>1783</v>
      </c>
      <c r="J136" s="19" t="s">
        <v>95</v>
      </c>
      <c r="K136" s="24"/>
      <c r="L136" s="20" t="str">
        <f t="shared" si="4"/>
        <v/>
      </c>
      <c r="M136" s="21">
        <f t="shared" si="5"/>
        <v>6</v>
      </c>
    </row>
    <row r="137" spans="1:13" ht="15" customHeight="1">
      <c r="A137" s="17" t="s">
        <v>2309</v>
      </c>
      <c r="B137" s="17">
        <v>6</v>
      </c>
      <c r="C137" s="17" t="s">
        <v>163</v>
      </c>
      <c r="D137" s="17" t="s">
        <v>2310</v>
      </c>
      <c r="E137" s="18" t="s">
        <v>2311</v>
      </c>
      <c r="F137" s="17" t="s">
        <v>2312</v>
      </c>
      <c r="G137" s="24"/>
      <c r="H137" s="24"/>
      <c r="I137" s="19" t="s">
        <v>1783</v>
      </c>
      <c r="J137" s="19" t="s">
        <v>95</v>
      </c>
      <c r="K137" s="24"/>
      <c r="L137" s="20" t="str">
        <f t="shared" si="4"/>
        <v/>
      </c>
      <c r="M137" s="21">
        <f t="shared" si="5"/>
        <v>7</v>
      </c>
    </row>
    <row r="138" spans="1:13" ht="15" customHeight="1">
      <c r="A138" s="17" t="s">
        <v>2313</v>
      </c>
      <c r="B138" s="17">
        <v>6</v>
      </c>
      <c r="C138" s="17" t="s">
        <v>163</v>
      </c>
      <c r="D138" s="17" t="s">
        <v>2314</v>
      </c>
      <c r="E138" s="18" t="s">
        <v>2315</v>
      </c>
      <c r="F138" s="17" t="s">
        <v>2316</v>
      </c>
      <c r="G138" s="24"/>
      <c r="H138" s="24"/>
      <c r="I138" s="19" t="s">
        <v>1783</v>
      </c>
      <c r="J138" s="19" t="s">
        <v>95</v>
      </c>
      <c r="K138" s="24"/>
      <c r="L138" s="20" t="str">
        <f t="shared" si="4"/>
        <v/>
      </c>
      <c r="M138" s="21">
        <f t="shared" si="5"/>
        <v>7</v>
      </c>
    </row>
    <row r="139" spans="1:13" ht="15" customHeight="1">
      <c r="A139" s="17" t="s">
        <v>2317</v>
      </c>
      <c r="B139" s="17">
        <v>6</v>
      </c>
      <c r="C139" s="17" t="s">
        <v>163</v>
      </c>
      <c r="D139" s="17" t="s">
        <v>2318</v>
      </c>
      <c r="E139" s="18" t="s">
        <v>2319</v>
      </c>
      <c r="F139" s="17" t="s">
        <v>987</v>
      </c>
      <c r="G139" s="24"/>
      <c r="H139" s="24"/>
      <c r="I139" s="19" t="s">
        <v>1783</v>
      </c>
      <c r="J139" s="19" t="s">
        <v>95</v>
      </c>
      <c r="K139" s="24"/>
      <c r="L139" s="20" t="str">
        <f t="shared" si="4"/>
        <v/>
      </c>
      <c r="M139" s="21">
        <f t="shared" si="5"/>
        <v>4</v>
      </c>
    </row>
    <row r="140" spans="1:13" ht="15" customHeight="1">
      <c r="A140" s="17" t="s">
        <v>2320</v>
      </c>
      <c r="B140" s="17">
        <v>6</v>
      </c>
      <c r="C140" s="17" t="s">
        <v>163</v>
      </c>
      <c r="D140" s="17" t="s">
        <v>2321</v>
      </c>
      <c r="E140" s="18" t="s">
        <v>2322</v>
      </c>
      <c r="F140" s="17" t="s">
        <v>2323</v>
      </c>
      <c r="G140" s="24"/>
      <c r="H140" s="24"/>
      <c r="I140" s="19" t="s">
        <v>1783</v>
      </c>
      <c r="J140" s="19" t="s">
        <v>95</v>
      </c>
      <c r="K140" s="24"/>
      <c r="L140" s="20" t="str">
        <f t="shared" si="4"/>
        <v/>
      </c>
      <c r="M140" s="21">
        <f t="shared" si="5"/>
        <v>6</v>
      </c>
    </row>
    <row r="141" spans="1:13" ht="15" customHeight="1">
      <c r="A141" s="17" t="s">
        <v>2324</v>
      </c>
      <c r="B141" s="17">
        <v>6</v>
      </c>
      <c r="C141" s="17" t="s">
        <v>163</v>
      </c>
      <c r="D141" s="17" t="s">
        <v>2325</v>
      </c>
      <c r="E141" s="18" t="s">
        <v>2326</v>
      </c>
      <c r="F141" s="17" t="s">
        <v>2327</v>
      </c>
      <c r="G141" s="24"/>
      <c r="H141" s="24"/>
      <c r="I141" s="19" t="s">
        <v>1783</v>
      </c>
      <c r="J141" s="19" t="s">
        <v>95</v>
      </c>
      <c r="K141" s="24"/>
      <c r="L141" s="20" t="str">
        <f t="shared" si="4"/>
        <v/>
      </c>
      <c r="M141" s="21">
        <f t="shared" si="5"/>
        <v>6</v>
      </c>
    </row>
    <row r="142" spans="1:13" ht="15" customHeight="1">
      <c r="A142" s="17" t="s">
        <v>2328</v>
      </c>
      <c r="B142" s="17">
        <v>3</v>
      </c>
      <c r="C142" s="17" t="s">
        <v>176</v>
      </c>
      <c r="D142" s="17" t="s">
        <v>2329</v>
      </c>
      <c r="E142" s="18" t="s">
        <v>2330</v>
      </c>
      <c r="F142" s="17" t="s">
        <v>996</v>
      </c>
      <c r="G142" s="24"/>
      <c r="H142" s="24"/>
      <c r="I142" s="19" t="s">
        <v>1783</v>
      </c>
      <c r="J142" s="19" t="s">
        <v>95</v>
      </c>
      <c r="K142" s="24"/>
      <c r="L142" s="20" t="str">
        <f t="shared" si="4"/>
        <v/>
      </c>
      <c r="M142" s="21">
        <f t="shared" si="5"/>
        <v>5</v>
      </c>
    </row>
    <row r="143" spans="1:13" ht="15" customHeight="1">
      <c r="A143" s="17" t="s">
        <v>2331</v>
      </c>
      <c r="B143" s="17">
        <v>3</v>
      </c>
      <c r="C143" s="17" t="s">
        <v>176</v>
      </c>
      <c r="D143" s="17" t="s">
        <v>2332</v>
      </c>
      <c r="E143" s="18" t="s">
        <v>2333</v>
      </c>
      <c r="F143" s="17" t="s">
        <v>2334</v>
      </c>
      <c r="G143" s="24"/>
      <c r="H143" s="24"/>
      <c r="I143" s="19" t="s">
        <v>1783</v>
      </c>
      <c r="J143" s="19" t="s">
        <v>95</v>
      </c>
      <c r="K143" s="24"/>
      <c r="L143" s="20" t="str">
        <f t="shared" si="4"/>
        <v/>
      </c>
      <c r="M143" s="21">
        <f t="shared" si="5"/>
        <v>5</v>
      </c>
    </row>
    <row r="144" spans="1:13" ht="15" customHeight="1">
      <c r="A144" s="17" t="s">
        <v>2335</v>
      </c>
      <c r="B144" s="17">
        <v>3</v>
      </c>
      <c r="C144" s="17" t="s">
        <v>176</v>
      </c>
      <c r="D144" s="17" t="s">
        <v>2336</v>
      </c>
      <c r="E144" s="18" t="s">
        <v>2337</v>
      </c>
      <c r="F144" s="17" t="s">
        <v>2338</v>
      </c>
      <c r="G144" s="24"/>
      <c r="H144" s="24"/>
      <c r="I144" s="19" t="s">
        <v>1783</v>
      </c>
      <c r="J144" s="19" t="s">
        <v>95</v>
      </c>
      <c r="K144" s="24"/>
      <c r="L144" s="20" t="str">
        <f t="shared" si="4"/>
        <v/>
      </c>
      <c r="M144" s="21">
        <f t="shared" si="5"/>
        <v>6</v>
      </c>
    </row>
    <row r="145" spans="1:13" ht="15" customHeight="1">
      <c r="A145" s="17" t="s">
        <v>2339</v>
      </c>
      <c r="B145" s="17">
        <v>3</v>
      </c>
      <c r="C145" s="17" t="s">
        <v>176</v>
      </c>
      <c r="D145" s="17" t="s">
        <v>2340</v>
      </c>
      <c r="E145" s="18" t="s">
        <v>2341</v>
      </c>
      <c r="F145" s="17" t="s">
        <v>2342</v>
      </c>
      <c r="G145" s="24"/>
      <c r="H145" s="24"/>
      <c r="I145" s="19" t="s">
        <v>1783</v>
      </c>
      <c r="J145" s="19" t="s">
        <v>95</v>
      </c>
      <c r="K145" s="24"/>
      <c r="L145" s="20" t="str">
        <f t="shared" si="4"/>
        <v/>
      </c>
      <c r="M145" s="21">
        <f t="shared" si="5"/>
        <v>3</v>
      </c>
    </row>
    <row r="146" spans="1:13" ht="15" customHeight="1">
      <c r="A146" s="17" t="s">
        <v>2343</v>
      </c>
      <c r="B146" s="17">
        <v>3</v>
      </c>
      <c r="C146" s="17" t="s">
        <v>176</v>
      </c>
      <c r="D146" s="17" t="s">
        <v>2344</v>
      </c>
      <c r="E146" s="18" t="s">
        <v>2345</v>
      </c>
      <c r="F146" s="17" t="s">
        <v>2346</v>
      </c>
      <c r="G146" s="24"/>
      <c r="H146" s="24"/>
      <c r="I146" s="19" t="s">
        <v>1783</v>
      </c>
      <c r="J146" s="19" t="s">
        <v>95</v>
      </c>
      <c r="K146" s="24"/>
      <c r="L146" s="20" t="str">
        <f t="shared" si="4"/>
        <v/>
      </c>
      <c r="M146" s="21">
        <f t="shared" si="5"/>
        <v>4</v>
      </c>
    </row>
    <row r="147" spans="1:13" ht="15" customHeight="1">
      <c r="A147" s="17" t="s">
        <v>2347</v>
      </c>
      <c r="B147" s="17">
        <v>4</v>
      </c>
      <c r="C147" s="17" t="s">
        <v>176</v>
      </c>
      <c r="D147" s="17" t="s">
        <v>2348</v>
      </c>
      <c r="E147" s="18" t="s">
        <v>2349</v>
      </c>
      <c r="F147" s="17" t="s">
        <v>1011</v>
      </c>
      <c r="G147" s="24"/>
      <c r="H147" s="24"/>
      <c r="I147" s="19" t="s">
        <v>1783</v>
      </c>
      <c r="J147" s="19" t="s">
        <v>95</v>
      </c>
      <c r="K147" s="24"/>
      <c r="L147" s="20" t="str">
        <f t="shared" si="4"/>
        <v/>
      </c>
      <c r="M147" s="21">
        <f t="shared" si="5"/>
        <v>5</v>
      </c>
    </row>
    <row r="148" spans="1:13" ht="15" customHeight="1">
      <c r="A148" s="17" t="s">
        <v>2350</v>
      </c>
      <c r="B148" s="17">
        <v>4</v>
      </c>
      <c r="C148" s="17" t="s">
        <v>176</v>
      </c>
      <c r="D148" s="17" t="s">
        <v>2351</v>
      </c>
      <c r="E148" s="18" t="s">
        <v>2352</v>
      </c>
      <c r="F148" s="17" t="s">
        <v>2353</v>
      </c>
      <c r="G148" s="24"/>
      <c r="H148" s="24"/>
      <c r="I148" s="19" t="s">
        <v>1783</v>
      </c>
      <c r="J148" s="19" t="s">
        <v>95</v>
      </c>
      <c r="K148" s="24"/>
      <c r="L148" s="20" t="str">
        <f t="shared" si="4"/>
        <v/>
      </c>
      <c r="M148" s="21">
        <f t="shared" si="5"/>
        <v>5</v>
      </c>
    </row>
    <row r="149" spans="1:13" ht="15" customHeight="1">
      <c r="A149" s="17" t="s">
        <v>2354</v>
      </c>
      <c r="B149" s="17">
        <v>4</v>
      </c>
      <c r="C149" s="17" t="s">
        <v>176</v>
      </c>
      <c r="D149" s="17" t="s">
        <v>2355</v>
      </c>
      <c r="E149" s="18" t="s">
        <v>2356</v>
      </c>
      <c r="F149" s="17" t="s">
        <v>2357</v>
      </c>
      <c r="G149" s="24"/>
      <c r="H149" s="24"/>
      <c r="I149" s="19" t="s">
        <v>1783</v>
      </c>
      <c r="J149" s="19" t="s">
        <v>95</v>
      </c>
      <c r="K149" s="24"/>
      <c r="L149" s="20" t="str">
        <f t="shared" si="4"/>
        <v/>
      </c>
      <c r="M149" s="21">
        <f t="shared" si="5"/>
        <v>4</v>
      </c>
    </row>
    <row r="150" spans="1:13" ht="15" customHeight="1">
      <c r="A150" s="17" t="s">
        <v>2358</v>
      </c>
      <c r="B150" s="17">
        <v>4</v>
      </c>
      <c r="C150" s="17" t="s">
        <v>176</v>
      </c>
      <c r="D150" s="17" t="s">
        <v>2359</v>
      </c>
      <c r="E150" s="18" t="s">
        <v>2360</v>
      </c>
      <c r="F150" s="17" t="s">
        <v>2361</v>
      </c>
      <c r="G150" s="24"/>
      <c r="H150" s="24"/>
      <c r="I150" s="19" t="s">
        <v>1783</v>
      </c>
      <c r="J150" s="19" t="s">
        <v>95</v>
      </c>
      <c r="K150" s="24"/>
      <c r="L150" s="20" t="str">
        <f t="shared" si="4"/>
        <v/>
      </c>
      <c r="M150" s="21">
        <f t="shared" si="5"/>
        <v>4</v>
      </c>
    </row>
    <row r="151" spans="1:13" ht="15" customHeight="1">
      <c r="A151" s="17" t="s">
        <v>2362</v>
      </c>
      <c r="B151" s="17">
        <v>4</v>
      </c>
      <c r="C151" s="17" t="s">
        <v>176</v>
      </c>
      <c r="D151" s="17" t="s">
        <v>2363</v>
      </c>
      <c r="E151" s="18" t="s">
        <v>2364</v>
      </c>
      <c r="F151" s="17" t="s">
        <v>1023</v>
      </c>
      <c r="G151" s="24"/>
      <c r="H151" s="24"/>
      <c r="I151" s="19" t="s">
        <v>1783</v>
      </c>
      <c r="J151" s="19" t="s">
        <v>95</v>
      </c>
      <c r="K151" s="24"/>
      <c r="L151" s="20" t="str">
        <f t="shared" si="4"/>
        <v/>
      </c>
      <c r="M151" s="21">
        <f t="shared" si="5"/>
        <v>7</v>
      </c>
    </row>
    <row r="152" spans="1:13" ht="15" customHeight="1">
      <c r="A152" s="17" t="s">
        <v>2365</v>
      </c>
      <c r="B152" s="17">
        <v>5</v>
      </c>
      <c r="C152" s="17" t="s">
        <v>176</v>
      </c>
      <c r="D152" s="17" t="s">
        <v>2366</v>
      </c>
      <c r="E152" s="18" t="s">
        <v>2367</v>
      </c>
      <c r="F152" s="17" t="s">
        <v>1026</v>
      </c>
      <c r="G152" s="24"/>
      <c r="H152" s="24"/>
      <c r="I152" s="19" t="s">
        <v>1783</v>
      </c>
      <c r="J152" s="19" t="s">
        <v>95</v>
      </c>
      <c r="K152" s="24"/>
      <c r="L152" s="20" t="str">
        <f t="shared" si="4"/>
        <v/>
      </c>
      <c r="M152" s="21">
        <f t="shared" si="5"/>
        <v>11</v>
      </c>
    </row>
    <row r="153" spans="1:13" ht="15" customHeight="1">
      <c r="A153" s="17" t="s">
        <v>2368</v>
      </c>
      <c r="B153" s="17">
        <v>5</v>
      </c>
      <c r="C153" s="17" t="s">
        <v>176</v>
      </c>
      <c r="D153" s="17" t="s">
        <v>2369</v>
      </c>
      <c r="E153" s="18" t="s">
        <v>2370</v>
      </c>
      <c r="F153" s="17" t="s">
        <v>1029</v>
      </c>
      <c r="G153" s="24"/>
      <c r="H153" s="24"/>
      <c r="I153" s="19" t="s">
        <v>1783</v>
      </c>
      <c r="J153" s="19" t="s">
        <v>95</v>
      </c>
      <c r="K153" s="24"/>
      <c r="L153" s="20" t="str">
        <f t="shared" si="4"/>
        <v/>
      </c>
      <c r="M153" s="21">
        <f t="shared" si="5"/>
        <v>8</v>
      </c>
    </row>
    <row r="154" spans="1:13" ht="15" customHeight="1">
      <c r="A154" s="17" t="s">
        <v>2371</v>
      </c>
      <c r="B154" s="17">
        <v>5</v>
      </c>
      <c r="C154" s="17" t="s">
        <v>176</v>
      </c>
      <c r="D154" s="17" t="s">
        <v>2372</v>
      </c>
      <c r="E154" s="18" t="s">
        <v>2373</v>
      </c>
      <c r="F154" s="17" t="s">
        <v>2374</v>
      </c>
      <c r="G154" s="24"/>
      <c r="H154" s="24"/>
      <c r="I154" s="19" t="s">
        <v>1783</v>
      </c>
      <c r="J154" s="19" t="s">
        <v>95</v>
      </c>
      <c r="K154" s="24"/>
      <c r="L154" s="20" t="str">
        <f t="shared" si="4"/>
        <v/>
      </c>
      <c r="M154" s="21">
        <f t="shared" si="5"/>
        <v>5</v>
      </c>
    </row>
    <row r="155" spans="1:13" ht="15" customHeight="1">
      <c r="A155" s="17" t="s">
        <v>2375</v>
      </c>
      <c r="B155" s="17">
        <v>5</v>
      </c>
      <c r="C155" s="17" t="s">
        <v>176</v>
      </c>
      <c r="D155" s="17" t="s">
        <v>2376</v>
      </c>
      <c r="E155" s="18" t="s">
        <v>2377</v>
      </c>
      <c r="F155" s="17" t="s">
        <v>1035</v>
      </c>
      <c r="G155" s="24"/>
      <c r="H155" s="24"/>
      <c r="I155" s="19" t="s">
        <v>1783</v>
      </c>
      <c r="J155" s="19" t="s">
        <v>95</v>
      </c>
      <c r="K155" s="24"/>
      <c r="L155" s="20" t="str">
        <f t="shared" si="4"/>
        <v/>
      </c>
      <c r="M155" s="21">
        <f t="shared" si="5"/>
        <v>5</v>
      </c>
    </row>
    <row r="156" spans="1:13" ht="15" customHeight="1">
      <c r="A156" s="17" t="s">
        <v>2378</v>
      </c>
      <c r="B156" s="17">
        <v>5</v>
      </c>
      <c r="C156" s="17" t="s">
        <v>176</v>
      </c>
      <c r="D156" s="17" t="s">
        <v>2379</v>
      </c>
      <c r="E156" s="18" t="s">
        <v>2380</v>
      </c>
      <c r="F156" s="17" t="s">
        <v>1038</v>
      </c>
      <c r="G156" s="24"/>
      <c r="H156" s="24"/>
      <c r="I156" s="19" t="s">
        <v>1783</v>
      </c>
      <c r="J156" s="19" t="s">
        <v>95</v>
      </c>
      <c r="K156" s="24"/>
      <c r="L156" s="20" t="str">
        <f t="shared" si="4"/>
        <v/>
      </c>
      <c r="M156" s="21">
        <f t="shared" si="5"/>
        <v>5</v>
      </c>
    </row>
    <row r="157" spans="1:13" ht="15" customHeight="1">
      <c r="A157" s="17" t="s">
        <v>2381</v>
      </c>
      <c r="B157" s="17">
        <v>6</v>
      </c>
      <c r="C157" s="17" t="s">
        <v>176</v>
      </c>
      <c r="D157" s="17" t="s">
        <v>2382</v>
      </c>
      <c r="E157" s="18" t="s">
        <v>2383</v>
      </c>
      <c r="F157" s="17" t="s">
        <v>2384</v>
      </c>
      <c r="G157" s="24"/>
      <c r="H157" s="24"/>
      <c r="I157" s="19" t="s">
        <v>1783</v>
      </c>
      <c r="J157" s="19" t="s">
        <v>95</v>
      </c>
      <c r="K157" s="24"/>
      <c r="L157" s="20" t="str">
        <f t="shared" si="4"/>
        <v/>
      </c>
      <c r="M157" s="21">
        <f t="shared" si="5"/>
        <v>7</v>
      </c>
    </row>
    <row r="158" spans="1:13" ht="15" customHeight="1">
      <c r="A158" s="17" t="s">
        <v>2385</v>
      </c>
      <c r="B158" s="17">
        <v>6</v>
      </c>
      <c r="C158" s="17" t="s">
        <v>176</v>
      </c>
      <c r="D158" s="17" t="s">
        <v>2386</v>
      </c>
      <c r="E158" s="18" t="s">
        <v>2387</v>
      </c>
      <c r="F158" s="17" t="s">
        <v>2388</v>
      </c>
      <c r="G158" s="24"/>
      <c r="H158" s="24"/>
      <c r="I158" s="19" t="s">
        <v>1783</v>
      </c>
      <c r="J158" s="19" t="s">
        <v>95</v>
      </c>
      <c r="K158" s="24"/>
      <c r="L158" s="20" t="str">
        <f t="shared" si="4"/>
        <v/>
      </c>
      <c r="M158" s="21">
        <f t="shared" si="5"/>
        <v>7</v>
      </c>
    </row>
    <row r="159" spans="1:13" ht="15" customHeight="1">
      <c r="A159" s="17" t="s">
        <v>2389</v>
      </c>
      <c r="B159" s="17">
        <v>6</v>
      </c>
      <c r="C159" s="17" t="s">
        <v>176</v>
      </c>
      <c r="D159" s="17" t="s">
        <v>2390</v>
      </c>
      <c r="E159" s="18" t="s">
        <v>2391</v>
      </c>
      <c r="F159" s="17" t="s">
        <v>2392</v>
      </c>
      <c r="G159" s="24"/>
      <c r="H159" s="24"/>
      <c r="I159" s="19" t="s">
        <v>1783</v>
      </c>
      <c r="J159" s="19" t="s">
        <v>95</v>
      </c>
      <c r="K159" s="24"/>
      <c r="L159" s="20" t="str">
        <f t="shared" si="4"/>
        <v/>
      </c>
      <c r="M159" s="21">
        <f t="shared" si="5"/>
        <v>7</v>
      </c>
    </row>
    <row r="160" spans="1:13" ht="15" customHeight="1">
      <c r="A160" s="17" t="s">
        <v>2393</v>
      </c>
      <c r="B160" s="17">
        <v>6</v>
      </c>
      <c r="C160" s="17" t="s">
        <v>176</v>
      </c>
      <c r="D160" s="17" t="s">
        <v>2394</v>
      </c>
      <c r="E160" s="18" t="s">
        <v>2395</v>
      </c>
      <c r="F160" s="17" t="s">
        <v>2396</v>
      </c>
      <c r="G160" s="24"/>
      <c r="H160" s="24"/>
      <c r="I160" s="19" t="s">
        <v>1783</v>
      </c>
      <c r="J160" s="19" t="s">
        <v>95</v>
      </c>
      <c r="K160" s="24"/>
      <c r="L160" s="20" t="str">
        <f t="shared" si="4"/>
        <v/>
      </c>
      <c r="M160" s="21">
        <f t="shared" si="5"/>
        <v>9</v>
      </c>
    </row>
    <row r="161" spans="1:13" ht="15" customHeight="1">
      <c r="A161" s="17" t="s">
        <v>2397</v>
      </c>
      <c r="B161" s="17">
        <v>6</v>
      </c>
      <c r="C161" s="17" t="s">
        <v>176</v>
      </c>
      <c r="D161" s="17" t="s">
        <v>2398</v>
      </c>
      <c r="E161" s="18" t="s">
        <v>2399</v>
      </c>
      <c r="F161" s="17" t="s">
        <v>2400</v>
      </c>
      <c r="G161" s="24"/>
      <c r="H161" s="24"/>
      <c r="I161" s="19" t="s">
        <v>1783</v>
      </c>
      <c r="J161" s="19" t="s">
        <v>95</v>
      </c>
      <c r="K161" s="24"/>
      <c r="L161" s="20" t="str">
        <f t="shared" si="4"/>
        <v/>
      </c>
      <c r="M161" s="21">
        <f t="shared" si="5"/>
        <v>9</v>
      </c>
    </row>
    <row r="162" spans="1:13" ht="15" customHeight="1">
      <c r="A162" s="17" t="s">
        <v>2401</v>
      </c>
      <c r="B162" s="17">
        <v>3</v>
      </c>
      <c r="C162" s="17" t="s">
        <v>189</v>
      </c>
      <c r="D162" s="17" t="s">
        <v>2402</v>
      </c>
      <c r="E162" s="18" t="s">
        <v>2403</v>
      </c>
      <c r="F162" s="17" t="s">
        <v>1056</v>
      </c>
      <c r="G162" s="24"/>
      <c r="H162" s="24"/>
      <c r="I162" s="19" t="s">
        <v>1783</v>
      </c>
      <c r="J162" s="19" t="s">
        <v>95</v>
      </c>
      <c r="K162" s="24"/>
      <c r="L162" s="20" t="str">
        <f t="shared" si="4"/>
        <v/>
      </c>
      <c r="M162" s="21">
        <f t="shared" si="5"/>
        <v>6</v>
      </c>
    </row>
    <row r="163" spans="1:13" ht="15" customHeight="1">
      <c r="A163" s="17" t="s">
        <v>2404</v>
      </c>
      <c r="B163" s="17">
        <v>3</v>
      </c>
      <c r="C163" s="17" t="s">
        <v>189</v>
      </c>
      <c r="D163" s="17" t="s">
        <v>2405</v>
      </c>
      <c r="E163" s="18" t="s">
        <v>2406</v>
      </c>
      <c r="F163" s="17" t="s">
        <v>2407</v>
      </c>
      <c r="G163" s="24"/>
      <c r="H163" s="24"/>
      <c r="I163" s="19" t="s">
        <v>1783</v>
      </c>
      <c r="J163" s="19" t="s">
        <v>95</v>
      </c>
      <c r="K163" s="24"/>
      <c r="L163" s="20" t="str">
        <f t="shared" si="4"/>
        <v/>
      </c>
      <c r="M163" s="21">
        <f t="shared" si="5"/>
        <v>6</v>
      </c>
    </row>
    <row r="164" spans="1:13" ht="15" customHeight="1">
      <c r="A164" s="17" t="s">
        <v>2408</v>
      </c>
      <c r="B164" s="17">
        <v>3</v>
      </c>
      <c r="C164" s="17" t="s">
        <v>189</v>
      </c>
      <c r="D164" s="17" t="s">
        <v>2409</v>
      </c>
      <c r="E164" s="18" t="s">
        <v>2410</v>
      </c>
      <c r="F164" s="17" t="s">
        <v>2411</v>
      </c>
      <c r="G164" s="24"/>
      <c r="H164" s="24"/>
      <c r="I164" s="19" t="s">
        <v>1783</v>
      </c>
      <c r="J164" s="19" t="s">
        <v>95</v>
      </c>
      <c r="K164" s="24"/>
      <c r="L164" s="20" t="str">
        <f t="shared" si="4"/>
        <v/>
      </c>
      <c r="M164" s="21">
        <f t="shared" si="5"/>
        <v>4</v>
      </c>
    </row>
    <row r="165" spans="1:13" ht="15" customHeight="1">
      <c r="A165" s="17" t="s">
        <v>2412</v>
      </c>
      <c r="B165" s="17">
        <v>3</v>
      </c>
      <c r="C165" s="17" t="s">
        <v>189</v>
      </c>
      <c r="D165" s="17" t="s">
        <v>2413</v>
      </c>
      <c r="E165" s="18" t="s">
        <v>2414</v>
      </c>
      <c r="F165" s="17" t="s">
        <v>2415</v>
      </c>
      <c r="G165" s="24"/>
      <c r="H165" s="24"/>
      <c r="I165" s="19" t="s">
        <v>1783</v>
      </c>
      <c r="J165" s="19" t="s">
        <v>95</v>
      </c>
      <c r="K165" s="24"/>
      <c r="L165" s="20" t="str">
        <f t="shared" si="4"/>
        <v/>
      </c>
      <c r="M165" s="21">
        <f t="shared" si="5"/>
        <v>6</v>
      </c>
    </row>
    <row r="166" spans="1:13" ht="15" customHeight="1">
      <c r="A166" s="17" t="s">
        <v>2416</v>
      </c>
      <c r="B166" s="17">
        <v>3</v>
      </c>
      <c r="C166" s="17" t="s">
        <v>189</v>
      </c>
      <c r="D166" s="17" t="s">
        <v>2417</v>
      </c>
      <c r="E166" s="18" t="s">
        <v>2418</v>
      </c>
      <c r="F166" s="17" t="s">
        <v>2419</v>
      </c>
      <c r="G166" s="24"/>
      <c r="H166" s="24"/>
      <c r="I166" s="19" t="s">
        <v>1783</v>
      </c>
      <c r="J166" s="19" t="s">
        <v>95</v>
      </c>
      <c r="K166" s="24"/>
      <c r="L166" s="20" t="str">
        <f t="shared" si="4"/>
        <v/>
      </c>
      <c r="M166" s="21">
        <f t="shared" si="5"/>
        <v>6</v>
      </c>
    </row>
    <row r="167" spans="1:13" ht="15" customHeight="1">
      <c r="A167" s="17" t="s">
        <v>2420</v>
      </c>
      <c r="B167" s="17">
        <v>4</v>
      </c>
      <c r="C167" s="17" t="s">
        <v>189</v>
      </c>
      <c r="D167" s="17" t="s">
        <v>2421</v>
      </c>
      <c r="E167" s="18" t="s">
        <v>2422</v>
      </c>
      <c r="F167" s="17" t="s">
        <v>2423</v>
      </c>
      <c r="G167" s="24"/>
      <c r="H167" s="24"/>
      <c r="I167" s="19" t="s">
        <v>1783</v>
      </c>
      <c r="J167" s="19" t="s">
        <v>95</v>
      </c>
      <c r="K167" s="24"/>
      <c r="L167" s="20" t="str">
        <f t="shared" si="4"/>
        <v/>
      </c>
      <c r="M167" s="21">
        <f t="shared" si="5"/>
        <v>4</v>
      </c>
    </row>
    <row r="168" spans="1:13" ht="15" customHeight="1">
      <c r="A168" s="17" t="s">
        <v>2424</v>
      </c>
      <c r="B168" s="17">
        <v>4</v>
      </c>
      <c r="C168" s="17" t="s">
        <v>189</v>
      </c>
      <c r="D168" s="17" t="s">
        <v>2425</v>
      </c>
      <c r="E168" s="18" t="s">
        <v>2426</v>
      </c>
      <c r="F168" s="17" t="s">
        <v>2427</v>
      </c>
      <c r="G168" s="24"/>
      <c r="H168" s="24"/>
      <c r="I168" s="19" t="s">
        <v>1783</v>
      </c>
      <c r="J168" s="19" t="s">
        <v>95</v>
      </c>
      <c r="K168" s="24"/>
      <c r="L168" s="20" t="str">
        <f t="shared" si="4"/>
        <v/>
      </c>
      <c r="M168" s="21">
        <f t="shared" si="5"/>
        <v>6</v>
      </c>
    </row>
    <row r="169" spans="1:13" ht="15" customHeight="1">
      <c r="A169" s="17" t="s">
        <v>2428</v>
      </c>
      <c r="B169" s="17">
        <v>4</v>
      </c>
      <c r="C169" s="17" t="s">
        <v>189</v>
      </c>
      <c r="D169" s="17" t="s">
        <v>2429</v>
      </c>
      <c r="E169" s="18" t="s">
        <v>2430</v>
      </c>
      <c r="F169" s="17" t="s">
        <v>2431</v>
      </c>
      <c r="G169" s="24"/>
      <c r="H169" s="24"/>
      <c r="I169" s="19" t="s">
        <v>1783</v>
      </c>
      <c r="J169" s="19" t="s">
        <v>95</v>
      </c>
      <c r="K169" s="24"/>
      <c r="L169" s="20" t="str">
        <f t="shared" si="4"/>
        <v/>
      </c>
      <c r="M169" s="21">
        <f t="shared" si="5"/>
        <v>7</v>
      </c>
    </row>
    <row r="170" spans="1:13" ht="15" customHeight="1">
      <c r="A170" s="17" t="s">
        <v>2432</v>
      </c>
      <c r="B170" s="17">
        <v>4</v>
      </c>
      <c r="C170" s="17" t="s">
        <v>189</v>
      </c>
      <c r="D170" s="17" t="s">
        <v>2433</v>
      </c>
      <c r="E170" s="18" t="s">
        <v>2434</v>
      </c>
      <c r="F170" s="17" t="s">
        <v>2435</v>
      </c>
      <c r="G170" s="24"/>
      <c r="H170" s="24"/>
      <c r="I170" s="19" t="s">
        <v>1783</v>
      </c>
      <c r="J170" s="19" t="s">
        <v>95</v>
      </c>
      <c r="K170" s="24"/>
      <c r="L170" s="20" t="str">
        <f t="shared" si="4"/>
        <v/>
      </c>
      <c r="M170" s="21">
        <f t="shared" si="5"/>
        <v>8</v>
      </c>
    </row>
    <row r="171" spans="1:13" ht="15" customHeight="1">
      <c r="A171" s="17" t="s">
        <v>2436</v>
      </c>
      <c r="B171" s="17">
        <v>4</v>
      </c>
      <c r="C171" s="17" t="s">
        <v>189</v>
      </c>
      <c r="D171" s="17" t="s">
        <v>2437</v>
      </c>
      <c r="E171" s="18" t="s">
        <v>2438</v>
      </c>
      <c r="F171" s="17" t="s">
        <v>2439</v>
      </c>
      <c r="G171" s="24"/>
      <c r="H171" s="24"/>
      <c r="I171" s="19" t="s">
        <v>1783</v>
      </c>
      <c r="J171" s="19" t="s">
        <v>95</v>
      </c>
      <c r="K171" s="24"/>
      <c r="L171" s="20" t="str">
        <f t="shared" si="4"/>
        <v/>
      </c>
      <c r="M171" s="21">
        <f t="shared" si="5"/>
        <v>7</v>
      </c>
    </row>
    <row r="172" spans="1:13" ht="15" customHeight="1">
      <c r="A172" s="17" t="s">
        <v>2440</v>
      </c>
      <c r="B172" s="17">
        <v>5</v>
      </c>
      <c r="C172" s="17" t="s">
        <v>189</v>
      </c>
      <c r="D172" s="17" t="s">
        <v>2441</v>
      </c>
      <c r="E172" s="18" t="s">
        <v>2442</v>
      </c>
      <c r="F172" s="17" t="s">
        <v>2443</v>
      </c>
      <c r="G172" s="24"/>
      <c r="H172" s="24"/>
      <c r="I172" s="19" t="s">
        <v>1783</v>
      </c>
      <c r="J172" s="19" t="s">
        <v>95</v>
      </c>
      <c r="K172" s="24"/>
      <c r="L172" s="20" t="str">
        <f t="shared" si="4"/>
        <v/>
      </c>
      <c r="M172" s="21">
        <f t="shared" si="5"/>
        <v>7</v>
      </c>
    </row>
    <row r="173" spans="1:13" ht="15" customHeight="1">
      <c r="A173" s="17" t="s">
        <v>2444</v>
      </c>
      <c r="B173" s="17">
        <v>5</v>
      </c>
      <c r="C173" s="17" t="s">
        <v>189</v>
      </c>
      <c r="D173" s="17" t="s">
        <v>2445</v>
      </c>
      <c r="E173" s="18" t="s">
        <v>2446</v>
      </c>
      <c r="F173" s="17" t="s">
        <v>2447</v>
      </c>
      <c r="G173" s="24"/>
      <c r="H173" s="24"/>
      <c r="I173" s="19" t="s">
        <v>1783</v>
      </c>
      <c r="J173" s="19" t="s">
        <v>95</v>
      </c>
      <c r="K173" s="24"/>
      <c r="L173" s="20" t="str">
        <f t="shared" si="4"/>
        <v/>
      </c>
      <c r="M173" s="21">
        <f t="shared" si="5"/>
        <v>7</v>
      </c>
    </row>
    <row r="174" spans="1:13" ht="15" customHeight="1">
      <c r="A174" s="17" t="s">
        <v>2448</v>
      </c>
      <c r="B174" s="17">
        <v>5</v>
      </c>
      <c r="C174" s="17" t="s">
        <v>189</v>
      </c>
      <c r="D174" s="17" t="s">
        <v>2449</v>
      </c>
      <c r="E174" s="18" t="s">
        <v>2450</v>
      </c>
      <c r="F174" s="17" t="s">
        <v>2451</v>
      </c>
      <c r="G174" s="24"/>
      <c r="H174" s="24"/>
      <c r="I174" s="19" t="s">
        <v>1783</v>
      </c>
      <c r="J174" s="19" t="s">
        <v>95</v>
      </c>
      <c r="K174" s="24"/>
      <c r="L174" s="20" t="str">
        <f t="shared" si="4"/>
        <v/>
      </c>
      <c r="M174" s="21">
        <f t="shared" si="5"/>
        <v>7</v>
      </c>
    </row>
    <row r="175" spans="1:13" ht="15" customHeight="1">
      <c r="A175" s="17" t="s">
        <v>2452</v>
      </c>
      <c r="B175" s="17">
        <v>5</v>
      </c>
      <c r="C175" s="17" t="s">
        <v>189</v>
      </c>
      <c r="D175" s="17" t="s">
        <v>2453</v>
      </c>
      <c r="E175" s="18" t="s">
        <v>2454</v>
      </c>
      <c r="F175" s="17" t="s">
        <v>2455</v>
      </c>
      <c r="G175" s="24"/>
      <c r="H175" s="24"/>
      <c r="I175" s="19" t="s">
        <v>1783</v>
      </c>
      <c r="J175" s="19" t="s">
        <v>95</v>
      </c>
      <c r="K175" s="24"/>
      <c r="L175" s="20" t="str">
        <f t="shared" si="4"/>
        <v/>
      </c>
      <c r="M175" s="21">
        <f t="shared" si="5"/>
        <v>9</v>
      </c>
    </row>
    <row r="176" spans="1:13" ht="15" customHeight="1">
      <c r="A176" s="17" t="s">
        <v>2456</v>
      </c>
      <c r="B176" s="17">
        <v>5</v>
      </c>
      <c r="C176" s="17" t="s">
        <v>189</v>
      </c>
      <c r="D176" s="17" t="s">
        <v>2457</v>
      </c>
      <c r="E176" s="18" t="s">
        <v>2458</v>
      </c>
      <c r="F176" s="17" t="s">
        <v>2459</v>
      </c>
      <c r="G176" s="24"/>
      <c r="H176" s="24"/>
      <c r="I176" s="19" t="s">
        <v>1783</v>
      </c>
      <c r="J176" s="19" t="s">
        <v>95</v>
      </c>
      <c r="K176" s="24"/>
      <c r="L176" s="20" t="str">
        <f t="shared" si="4"/>
        <v/>
      </c>
      <c r="M176" s="21">
        <f t="shared" si="5"/>
        <v>8</v>
      </c>
    </row>
    <row r="177" spans="1:13" ht="15" customHeight="1">
      <c r="A177" s="17" t="s">
        <v>2460</v>
      </c>
      <c r="B177" s="17">
        <v>6</v>
      </c>
      <c r="C177" s="17" t="s">
        <v>189</v>
      </c>
      <c r="D177" s="17" t="s">
        <v>2461</v>
      </c>
      <c r="E177" s="18" t="s">
        <v>2462</v>
      </c>
      <c r="F177" s="17" t="s">
        <v>2463</v>
      </c>
      <c r="G177" s="24"/>
      <c r="H177" s="24"/>
      <c r="I177" s="19" t="s">
        <v>1783</v>
      </c>
      <c r="J177" s="19" t="s">
        <v>95</v>
      </c>
      <c r="K177" s="24"/>
      <c r="L177" s="20" t="str">
        <f t="shared" si="4"/>
        <v/>
      </c>
      <c r="M177" s="21">
        <f t="shared" si="5"/>
        <v>7</v>
      </c>
    </row>
    <row r="178" spans="1:13" ht="15" customHeight="1">
      <c r="A178" s="17" t="s">
        <v>2464</v>
      </c>
      <c r="B178" s="17">
        <v>6</v>
      </c>
      <c r="C178" s="17" t="s">
        <v>189</v>
      </c>
      <c r="D178" s="17" t="s">
        <v>2465</v>
      </c>
      <c r="E178" s="18" t="s">
        <v>2466</v>
      </c>
      <c r="F178" s="17" t="s">
        <v>2467</v>
      </c>
      <c r="G178" s="24"/>
      <c r="H178" s="24"/>
      <c r="I178" s="19" t="s">
        <v>1783</v>
      </c>
      <c r="J178" s="19" t="s">
        <v>95</v>
      </c>
      <c r="K178" s="24"/>
      <c r="L178" s="20" t="str">
        <f t="shared" si="4"/>
        <v/>
      </c>
      <c r="M178" s="21">
        <f t="shared" si="5"/>
        <v>8</v>
      </c>
    </row>
    <row r="179" spans="1:13" ht="15" customHeight="1">
      <c r="A179" s="17" t="s">
        <v>2468</v>
      </c>
      <c r="B179" s="17">
        <v>6</v>
      </c>
      <c r="C179" s="17" t="s">
        <v>189</v>
      </c>
      <c r="D179" s="17" t="s">
        <v>2469</v>
      </c>
      <c r="E179" s="18" t="s">
        <v>2470</v>
      </c>
      <c r="F179" s="17" t="s">
        <v>2471</v>
      </c>
      <c r="G179" s="24"/>
      <c r="H179" s="24"/>
      <c r="I179" s="19" t="s">
        <v>1783</v>
      </c>
      <c r="J179" s="19" t="s">
        <v>95</v>
      </c>
      <c r="K179" s="24"/>
      <c r="L179" s="20" t="str">
        <f t="shared" si="4"/>
        <v/>
      </c>
      <c r="M179" s="21">
        <f t="shared" si="5"/>
        <v>6</v>
      </c>
    </row>
    <row r="180" spans="1:13" ht="15" customHeight="1">
      <c r="A180" s="17" t="s">
        <v>2472</v>
      </c>
      <c r="B180" s="17">
        <v>6</v>
      </c>
      <c r="C180" s="17" t="s">
        <v>189</v>
      </c>
      <c r="D180" s="17" t="s">
        <v>2473</v>
      </c>
      <c r="E180" s="18" t="s">
        <v>2474</v>
      </c>
      <c r="F180" s="17" t="s">
        <v>2475</v>
      </c>
      <c r="G180" s="24"/>
      <c r="H180" s="24"/>
      <c r="I180" s="19" t="s">
        <v>1783</v>
      </c>
      <c r="J180" s="19" t="s">
        <v>95</v>
      </c>
      <c r="K180" s="24"/>
      <c r="L180" s="20" t="str">
        <f t="shared" si="4"/>
        <v/>
      </c>
      <c r="M180" s="21">
        <f t="shared" si="5"/>
        <v>9</v>
      </c>
    </row>
    <row r="181" spans="1:13" ht="15" customHeight="1">
      <c r="A181" s="17" t="s">
        <v>2476</v>
      </c>
      <c r="B181" s="17">
        <v>6</v>
      </c>
      <c r="C181" s="17" t="s">
        <v>189</v>
      </c>
      <c r="D181" s="17" t="s">
        <v>2477</v>
      </c>
      <c r="E181" s="18" t="s">
        <v>2478</v>
      </c>
      <c r="F181" s="17" t="s">
        <v>2479</v>
      </c>
      <c r="G181" s="24"/>
      <c r="H181" s="24"/>
      <c r="I181" s="19" t="s">
        <v>1783</v>
      </c>
      <c r="J181" s="19" t="s">
        <v>95</v>
      </c>
      <c r="K181" s="24"/>
      <c r="L181" s="20" t="str">
        <f t="shared" si="4"/>
        <v/>
      </c>
      <c r="M181" s="21">
        <f t="shared" si="5"/>
        <v>10</v>
      </c>
    </row>
    <row r="182" spans="1:13" ht="15" customHeight="1">
      <c r="A182" s="17" t="s">
        <v>2480</v>
      </c>
      <c r="B182" s="17">
        <v>3</v>
      </c>
      <c r="C182" s="17" t="s">
        <v>196</v>
      </c>
      <c r="D182" s="17" t="s">
        <v>2481</v>
      </c>
      <c r="E182" s="18" t="s">
        <v>2482</v>
      </c>
      <c r="F182" s="17" t="s">
        <v>2483</v>
      </c>
      <c r="G182" s="24"/>
      <c r="H182" s="24"/>
      <c r="I182" s="19" t="s">
        <v>1783</v>
      </c>
      <c r="J182" s="19" t="s">
        <v>95</v>
      </c>
      <c r="K182" s="24"/>
      <c r="L182" s="20" t="str">
        <f t="shared" si="4"/>
        <v/>
      </c>
      <c r="M182" s="21">
        <f t="shared" si="5"/>
        <v>5</v>
      </c>
    </row>
    <row r="183" spans="1:13" ht="15" customHeight="1">
      <c r="A183" s="17" t="s">
        <v>2484</v>
      </c>
      <c r="B183" s="17">
        <v>3</v>
      </c>
      <c r="C183" s="17" t="s">
        <v>196</v>
      </c>
      <c r="D183" s="17" t="s">
        <v>2485</v>
      </c>
      <c r="E183" s="18" t="s">
        <v>2486</v>
      </c>
      <c r="F183" s="17" t="s">
        <v>1119</v>
      </c>
      <c r="G183" s="24"/>
      <c r="H183" s="24"/>
      <c r="I183" s="19" t="s">
        <v>1783</v>
      </c>
      <c r="J183" s="19" t="s">
        <v>95</v>
      </c>
      <c r="K183" s="24"/>
      <c r="L183" s="20" t="str">
        <f t="shared" si="4"/>
        <v/>
      </c>
      <c r="M183" s="21">
        <f t="shared" si="5"/>
        <v>5</v>
      </c>
    </row>
    <row r="184" spans="1:13" ht="15" customHeight="1">
      <c r="A184" s="17" t="s">
        <v>2487</v>
      </c>
      <c r="B184" s="17">
        <v>3</v>
      </c>
      <c r="C184" s="17" t="s">
        <v>196</v>
      </c>
      <c r="D184" s="17" t="s">
        <v>2488</v>
      </c>
      <c r="E184" s="18" t="s">
        <v>2489</v>
      </c>
      <c r="F184" s="17" t="s">
        <v>1122</v>
      </c>
      <c r="G184" s="24"/>
      <c r="H184" s="24"/>
      <c r="I184" s="19" t="s">
        <v>1783</v>
      </c>
      <c r="J184" s="19" t="s">
        <v>95</v>
      </c>
      <c r="K184" s="24"/>
      <c r="L184" s="20" t="str">
        <f t="shared" si="4"/>
        <v/>
      </c>
      <c r="M184" s="21">
        <f t="shared" si="5"/>
        <v>5</v>
      </c>
    </row>
    <row r="185" spans="1:13" ht="15" customHeight="1">
      <c r="A185" s="17" t="s">
        <v>2490</v>
      </c>
      <c r="B185" s="17">
        <v>3</v>
      </c>
      <c r="C185" s="17" t="s">
        <v>196</v>
      </c>
      <c r="D185" s="17" t="s">
        <v>2491</v>
      </c>
      <c r="E185" s="18" t="s">
        <v>2492</v>
      </c>
      <c r="F185" s="17" t="s">
        <v>1125</v>
      </c>
      <c r="G185" s="24"/>
      <c r="H185" s="24"/>
      <c r="I185" s="19" t="s">
        <v>1783</v>
      </c>
      <c r="J185" s="19" t="s">
        <v>95</v>
      </c>
      <c r="K185" s="24"/>
      <c r="L185" s="20" t="str">
        <f t="shared" si="4"/>
        <v/>
      </c>
      <c r="M185" s="21">
        <f t="shared" si="5"/>
        <v>3</v>
      </c>
    </row>
    <row r="186" spans="1:13" ht="15" customHeight="1">
      <c r="A186" s="17" t="s">
        <v>2493</v>
      </c>
      <c r="B186" s="17">
        <v>3</v>
      </c>
      <c r="C186" s="17" t="s">
        <v>196</v>
      </c>
      <c r="D186" s="17" t="s">
        <v>2494</v>
      </c>
      <c r="E186" s="18" t="s">
        <v>2495</v>
      </c>
      <c r="F186" s="17" t="s">
        <v>1128</v>
      </c>
      <c r="G186" s="24"/>
      <c r="H186" s="24"/>
      <c r="I186" s="19" t="s">
        <v>1783</v>
      </c>
      <c r="J186" s="19" t="s">
        <v>95</v>
      </c>
      <c r="K186" s="24"/>
      <c r="L186" s="20" t="str">
        <f t="shared" si="4"/>
        <v/>
      </c>
      <c r="M186" s="21">
        <f t="shared" si="5"/>
        <v>5</v>
      </c>
    </row>
    <row r="187" spans="1:13" ht="15" customHeight="1">
      <c r="A187" s="17" t="s">
        <v>2496</v>
      </c>
      <c r="B187" s="17">
        <v>4</v>
      </c>
      <c r="C187" s="17" t="s">
        <v>196</v>
      </c>
      <c r="D187" s="17" t="s">
        <v>2497</v>
      </c>
      <c r="E187" s="18" t="s">
        <v>2498</v>
      </c>
      <c r="F187" s="17" t="s">
        <v>2499</v>
      </c>
      <c r="G187" s="24"/>
      <c r="H187" s="24"/>
      <c r="I187" s="19" t="s">
        <v>1783</v>
      </c>
      <c r="J187" s="19" t="s">
        <v>95</v>
      </c>
      <c r="K187" s="24"/>
      <c r="L187" s="20" t="str">
        <f t="shared" si="4"/>
        <v/>
      </c>
      <c r="M187" s="21">
        <f t="shared" si="5"/>
        <v>6</v>
      </c>
    </row>
    <row r="188" spans="1:13" ht="15" customHeight="1">
      <c r="A188" s="17" t="s">
        <v>2500</v>
      </c>
      <c r="B188" s="17">
        <v>4</v>
      </c>
      <c r="C188" s="17" t="s">
        <v>196</v>
      </c>
      <c r="D188" s="17" t="s">
        <v>2501</v>
      </c>
      <c r="E188" s="18" t="s">
        <v>2502</v>
      </c>
      <c r="F188" s="17" t="s">
        <v>2503</v>
      </c>
      <c r="G188" s="24"/>
      <c r="H188" s="24"/>
      <c r="I188" s="19" t="s">
        <v>1783</v>
      </c>
      <c r="J188" s="19" t="s">
        <v>95</v>
      </c>
      <c r="K188" s="24"/>
      <c r="L188" s="20" t="str">
        <f t="shared" si="4"/>
        <v/>
      </c>
      <c r="M188" s="21">
        <f t="shared" si="5"/>
        <v>5</v>
      </c>
    </row>
    <row r="189" spans="1:13" ht="15" customHeight="1">
      <c r="A189" s="17" t="s">
        <v>2504</v>
      </c>
      <c r="B189" s="17">
        <v>4</v>
      </c>
      <c r="C189" s="17" t="s">
        <v>196</v>
      </c>
      <c r="D189" s="17" t="s">
        <v>2505</v>
      </c>
      <c r="E189" s="18" t="s">
        <v>2506</v>
      </c>
      <c r="F189" s="17" t="s">
        <v>2507</v>
      </c>
      <c r="G189" s="24"/>
      <c r="H189" s="24"/>
      <c r="I189" s="19" t="s">
        <v>1783</v>
      </c>
      <c r="J189" s="19" t="s">
        <v>95</v>
      </c>
      <c r="K189" s="24"/>
      <c r="L189" s="20" t="str">
        <f t="shared" si="4"/>
        <v/>
      </c>
      <c r="M189" s="21">
        <f t="shared" si="5"/>
        <v>5</v>
      </c>
    </row>
    <row r="190" spans="1:13" ht="15" customHeight="1">
      <c r="A190" s="17" t="s">
        <v>2508</v>
      </c>
      <c r="B190" s="17">
        <v>4</v>
      </c>
      <c r="C190" s="17" t="s">
        <v>196</v>
      </c>
      <c r="D190" s="17" t="s">
        <v>2509</v>
      </c>
      <c r="E190" s="18" t="s">
        <v>2510</v>
      </c>
      <c r="F190" s="17" t="s">
        <v>2511</v>
      </c>
      <c r="G190" s="24"/>
      <c r="H190" s="24"/>
      <c r="I190" s="19" t="s">
        <v>1783</v>
      </c>
      <c r="J190" s="19" t="s">
        <v>95</v>
      </c>
      <c r="K190" s="24"/>
      <c r="L190" s="20" t="str">
        <f t="shared" si="4"/>
        <v/>
      </c>
      <c r="M190" s="21">
        <f t="shared" si="5"/>
        <v>4</v>
      </c>
    </row>
    <row r="191" spans="1:13" ht="15" customHeight="1">
      <c r="A191" s="17" t="s">
        <v>2512</v>
      </c>
      <c r="B191" s="17">
        <v>4</v>
      </c>
      <c r="C191" s="17" t="s">
        <v>196</v>
      </c>
      <c r="D191" s="17" t="s">
        <v>2513</v>
      </c>
      <c r="E191" s="18" t="s">
        <v>2514</v>
      </c>
      <c r="F191" s="17" t="s">
        <v>2515</v>
      </c>
      <c r="G191" s="24"/>
      <c r="H191" s="24"/>
      <c r="I191" s="19" t="s">
        <v>1783</v>
      </c>
      <c r="J191" s="19" t="s">
        <v>95</v>
      </c>
      <c r="K191" s="24"/>
      <c r="L191" s="20" t="str">
        <f t="shared" si="4"/>
        <v/>
      </c>
      <c r="M191" s="21">
        <f t="shared" si="5"/>
        <v>5</v>
      </c>
    </row>
    <row r="192" spans="1:13" ht="15" customHeight="1">
      <c r="A192" s="17" t="s">
        <v>2516</v>
      </c>
      <c r="B192" s="17">
        <v>5</v>
      </c>
      <c r="C192" s="17" t="s">
        <v>196</v>
      </c>
      <c r="D192" s="17" t="s">
        <v>2517</v>
      </c>
      <c r="E192" s="18" t="s">
        <v>2518</v>
      </c>
      <c r="F192" s="17" t="s">
        <v>2519</v>
      </c>
      <c r="G192" s="24"/>
      <c r="H192" s="24"/>
      <c r="I192" s="19" t="s">
        <v>1783</v>
      </c>
      <c r="J192" s="19" t="s">
        <v>95</v>
      </c>
      <c r="K192" s="24"/>
      <c r="L192" s="20" t="str">
        <f t="shared" si="4"/>
        <v/>
      </c>
      <c r="M192" s="21">
        <f t="shared" si="5"/>
        <v>7</v>
      </c>
    </row>
    <row r="193" spans="1:13" ht="15" customHeight="1">
      <c r="A193" s="17" t="s">
        <v>2520</v>
      </c>
      <c r="B193" s="17">
        <v>5</v>
      </c>
      <c r="C193" s="17" t="s">
        <v>196</v>
      </c>
      <c r="D193" s="17" t="s">
        <v>2521</v>
      </c>
      <c r="E193" s="18" t="s">
        <v>2522</v>
      </c>
      <c r="F193" s="17" t="s">
        <v>2523</v>
      </c>
      <c r="G193" s="24"/>
      <c r="H193" s="24"/>
      <c r="I193" s="19" t="s">
        <v>1783</v>
      </c>
      <c r="J193" s="19" t="s">
        <v>95</v>
      </c>
      <c r="K193" s="24"/>
      <c r="L193" s="20" t="str">
        <f t="shared" si="4"/>
        <v/>
      </c>
      <c r="M193" s="21">
        <f t="shared" si="5"/>
        <v>5</v>
      </c>
    </row>
    <row r="194" spans="1:13" ht="15" customHeight="1">
      <c r="A194" s="17" t="s">
        <v>2524</v>
      </c>
      <c r="B194" s="17">
        <v>5</v>
      </c>
      <c r="C194" s="17" t="s">
        <v>196</v>
      </c>
      <c r="D194" s="17" t="s">
        <v>2525</v>
      </c>
      <c r="E194" s="18" t="s">
        <v>2526</v>
      </c>
      <c r="F194" s="17" t="s">
        <v>2527</v>
      </c>
      <c r="G194" s="24"/>
      <c r="H194" s="24"/>
      <c r="I194" s="19" t="s">
        <v>1783</v>
      </c>
      <c r="J194" s="19" t="s">
        <v>95</v>
      </c>
      <c r="K194" s="24"/>
      <c r="L194" s="20" t="str">
        <f t="shared" ref="L194:L257" si="6">IF(A194="","",IF(COUNTIF($A$2:$A$401,A194)&gt;1,"중복",""))</f>
        <v/>
      </c>
      <c r="M194" s="21">
        <f t="shared" ref="M194:M257" si="7">IF(D194="","",LEN(D194))</f>
        <v>6</v>
      </c>
    </row>
    <row r="195" spans="1:13" ht="15" customHeight="1">
      <c r="A195" s="17" t="s">
        <v>2528</v>
      </c>
      <c r="B195" s="17">
        <v>5</v>
      </c>
      <c r="C195" s="17" t="s">
        <v>196</v>
      </c>
      <c r="D195" s="17" t="s">
        <v>2529</v>
      </c>
      <c r="E195" s="18" t="s">
        <v>2530</v>
      </c>
      <c r="F195" s="17" t="s">
        <v>2531</v>
      </c>
      <c r="G195" s="24"/>
      <c r="H195" s="24"/>
      <c r="I195" s="19" t="s">
        <v>1783</v>
      </c>
      <c r="J195" s="19" t="s">
        <v>95</v>
      </c>
      <c r="K195" s="24"/>
      <c r="L195" s="20" t="str">
        <f t="shared" si="6"/>
        <v/>
      </c>
      <c r="M195" s="21">
        <f t="shared" si="7"/>
        <v>6</v>
      </c>
    </row>
    <row r="196" spans="1:13" ht="15" customHeight="1">
      <c r="A196" s="17" t="s">
        <v>2532</v>
      </c>
      <c r="B196" s="17">
        <v>5</v>
      </c>
      <c r="C196" s="17" t="s">
        <v>196</v>
      </c>
      <c r="D196" s="17" t="s">
        <v>2533</v>
      </c>
      <c r="E196" s="18" t="s">
        <v>2534</v>
      </c>
      <c r="F196" s="17" t="s">
        <v>2535</v>
      </c>
      <c r="G196" s="24"/>
      <c r="H196" s="24"/>
      <c r="I196" s="19" t="s">
        <v>1783</v>
      </c>
      <c r="J196" s="19" t="s">
        <v>95</v>
      </c>
      <c r="K196" s="24"/>
      <c r="L196" s="20" t="str">
        <f t="shared" si="6"/>
        <v/>
      </c>
      <c r="M196" s="21">
        <f t="shared" si="7"/>
        <v>6</v>
      </c>
    </row>
    <row r="197" spans="1:13" ht="15" customHeight="1">
      <c r="A197" s="17" t="s">
        <v>2536</v>
      </c>
      <c r="B197" s="17">
        <v>6</v>
      </c>
      <c r="C197" s="17" t="s">
        <v>196</v>
      </c>
      <c r="D197" s="17" t="s">
        <v>2537</v>
      </c>
      <c r="E197" s="18" t="s">
        <v>2538</v>
      </c>
      <c r="F197" s="17" t="s">
        <v>2539</v>
      </c>
      <c r="G197" s="24"/>
      <c r="H197" s="24"/>
      <c r="I197" s="19" t="s">
        <v>1783</v>
      </c>
      <c r="J197" s="19" t="s">
        <v>95</v>
      </c>
      <c r="K197" s="24"/>
      <c r="L197" s="20" t="str">
        <f t="shared" si="6"/>
        <v/>
      </c>
      <c r="M197" s="21">
        <f t="shared" si="7"/>
        <v>7</v>
      </c>
    </row>
    <row r="198" spans="1:13" ht="15" customHeight="1">
      <c r="A198" s="17" t="s">
        <v>2540</v>
      </c>
      <c r="B198" s="17">
        <v>6</v>
      </c>
      <c r="C198" s="17" t="s">
        <v>196</v>
      </c>
      <c r="D198" s="17" t="s">
        <v>2541</v>
      </c>
      <c r="E198" s="18" t="s">
        <v>2542</v>
      </c>
      <c r="F198" s="17" t="s">
        <v>2543</v>
      </c>
      <c r="G198" s="24"/>
      <c r="H198" s="24"/>
      <c r="I198" s="19" t="s">
        <v>1783</v>
      </c>
      <c r="J198" s="19" t="s">
        <v>95</v>
      </c>
      <c r="K198" s="24"/>
      <c r="L198" s="20" t="str">
        <f t="shared" si="6"/>
        <v/>
      </c>
      <c r="M198" s="21">
        <f t="shared" si="7"/>
        <v>5</v>
      </c>
    </row>
    <row r="199" spans="1:13" ht="15" customHeight="1">
      <c r="A199" s="17" t="s">
        <v>2544</v>
      </c>
      <c r="B199" s="17">
        <v>6</v>
      </c>
      <c r="C199" s="17" t="s">
        <v>196</v>
      </c>
      <c r="D199" s="17" t="s">
        <v>2545</v>
      </c>
      <c r="E199" s="18" t="s">
        <v>2546</v>
      </c>
      <c r="F199" s="17" t="s">
        <v>2547</v>
      </c>
      <c r="G199" s="24"/>
      <c r="H199" s="24"/>
      <c r="I199" s="19" t="s">
        <v>1783</v>
      </c>
      <c r="J199" s="19" t="s">
        <v>95</v>
      </c>
      <c r="K199" s="24"/>
      <c r="L199" s="20" t="str">
        <f t="shared" si="6"/>
        <v/>
      </c>
      <c r="M199" s="21">
        <f t="shared" si="7"/>
        <v>9</v>
      </c>
    </row>
    <row r="200" spans="1:13" ht="15" customHeight="1">
      <c r="A200" s="17" t="s">
        <v>2548</v>
      </c>
      <c r="B200" s="17">
        <v>6</v>
      </c>
      <c r="C200" s="17" t="s">
        <v>196</v>
      </c>
      <c r="D200" s="17" t="s">
        <v>2549</v>
      </c>
      <c r="E200" s="18" t="s">
        <v>2550</v>
      </c>
      <c r="F200" s="17" t="s">
        <v>2551</v>
      </c>
      <c r="G200" s="24"/>
      <c r="H200" s="24"/>
      <c r="I200" s="19" t="s">
        <v>1783</v>
      </c>
      <c r="J200" s="19" t="s">
        <v>95</v>
      </c>
      <c r="K200" s="24"/>
      <c r="L200" s="20" t="str">
        <f t="shared" si="6"/>
        <v/>
      </c>
      <c r="M200" s="21">
        <f t="shared" si="7"/>
        <v>8</v>
      </c>
    </row>
    <row r="201" spans="1:13" ht="15" customHeight="1">
      <c r="A201" s="17" t="s">
        <v>2552</v>
      </c>
      <c r="B201" s="17">
        <v>6</v>
      </c>
      <c r="C201" s="17" t="s">
        <v>196</v>
      </c>
      <c r="D201" s="17" t="s">
        <v>2553</v>
      </c>
      <c r="E201" s="18" t="s">
        <v>2554</v>
      </c>
      <c r="F201" s="17" t="s">
        <v>2555</v>
      </c>
      <c r="G201" s="24"/>
      <c r="H201" s="24"/>
      <c r="I201" s="19" t="s">
        <v>1783</v>
      </c>
      <c r="J201" s="19" t="s">
        <v>95</v>
      </c>
      <c r="K201" s="24"/>
      <c r="L201" s="20" t="str">
        <f t="shared" si="6"/>
        <v/>
      </c>
      <c r="M201" s="21">
        <f t="shared" si="7"/>
        <v>7</v>
      </c>
    </row>
    <row r="202" spans="1:13" ht="15" customHeight="1">
      <c r="A202" s="17" t="s">
        <v>2556</v>
      </c>
      <c r="B202" s="17">
        <v>3</v>
      </c>
      <c r="C202" s="17" t="s">
        <v>203</v>
      </c>
      <c r="D202" s="17" t="s">
        <v>2557</v>
      </c>
      <c r="E202" s="18" t="s">
        <v>2558</v>
      </c>
      <c r="F202" s="17" t="s">
        <v>2559</v>
      </c>
      <c r="G202" s="24"/>
      <c r="H202" s="24"/>
      <c r="I202" s="19" t="s">
        <v>1783</v>
      </c>
      <c r="J202" s="19" t="s">
        <v>95</v>
      </c>
      <c r="K202" s="24"/>
      <c r="L202" s="20" t="str">
        <f t="shared" si="6"/>
        <v/>
      </c>
      <c r="M202" s="21">
        <f t="shared" si="7"/>
        <v>4</v>
      </c>
    </row>
    <row r="203" spans="1:13" ht="15" customHeight="1">
      <c r="A203" s="17" t="s">
        <v>2560</v>
      </c>
      <c r="B203" s="17">
        <v>3</v>
      </c>
      <c r="C203" s="17" t="s">
        <v>203</v>
      </c>
      <c r="D203" s="17" t="s">
        <v>2561</v>
      </c>
      <c r="E203" s="18" t="s">
        <v>2562</v>
      </c>
      <c r="F203" s="17" t="s">
        <v>2563</v>
      </c>
      <c r="G203" s="24"/>
      <c r="H203" s="24"/>
      <c r="I203" s="19" t="s">
        <v>1783</v>
      </c>
      <c r="J203" s="19" t="s">
        <v>95</v>
      </c>
      <c r="K203" s="24"/>
      <c r="L203" s="20" t="str">
        <f t="shared" si="6"/>
        <v/>
      </c>
      <c r="M203" s="21">
        <f t="shared" si="7"/>
        <v>4</v>
      </c>
    </row>
    <row r="204" spans="1:13" ht="15" customHeight="1">
      <c r="A204" s="17" t="s">
        <v>2564</v>
      </c>
      <c r="B204" s="17">
        <v>3</v>
      </c>
      <c r="C204" s="17" t="s">
        <v>203</v>
      </c>
      <c r="D204" s="17" t="s">
        <v>2565</v>
      </c>
      <c r="E204" s="18" t="s">
        <v>2566</v>
      </c>
      <c r="F204" s="17" t="s">
        <v>1182</v>
      </c>
      <c r="G204" s="24"/>
      <c r="H204" s="24"/>
      <c r="I204" s="19" t="s">
        <v>1783</v>
      </c>
      <c r="J204" s="19" t="s">
        <v>95</v>
      </c>
      <c r="K204" s="24"/>
      <c r="L204" s="20" t="str">
        <f t="shared" si="6"/>
        <v/>
      </c>
      <c r="M204" s="21">
        <f t="shared" si="7"/>
        <v>4</v>
      </c>
    </row>
    <row r="205" spans="1:13" ht="15" customHeight="1">
      <c r="A205" s="17" t="s">
        <v>2567</v>
      </c>
      <c r="B205" s="17">
        <v>3</v>
      </c>
      <c r="C205" s="17" t="s">
        <v>203</v>
      </c>
      <c r="D205" s="17" t="s">
        <v>2568</v>
      </c>
      <c r="E205" s="18" t="s">
        <v>2569</v>
      </c>
      <c r="F205" s="17" t="s">
        <v>2570</v>
      </c>
      <c r="G205" s="24"/>
      <c r="H205" s="24"/>
      <c r="I205" s="19" t="s">
        <v>1783</v>
      </c>
      <c r="J205" s="19" t="s">
        <v>95</v>
      </c>
      <c r="K205" s="24"/>
      <c r="L205" s="20" t="str">
        <f t="shared" si="6"/>
        <v/>
      </c>
      <c r="M205" s="21">
        <f t="shared" si="7"/>
        <v>3</v>
      </c>
    </row>
    <row r="206" spans="1:13" ht="15" customHeight="1">
      <c r="A206" s="17" t="s">
        <v>2571</v>
      </c>
      <c r="B206" s="17">
        <v>3</v>
      </c>
      <c r="C206" s="17" t="s">
        <v>203</v>
      </c>
      <c r="D206" s="17" t="s">
        <v>2572</v>
      </c>
      <c r="E206" s="18" t="s">
        <v>2573</v>
      </c>
      <c r="F206" s="17" t="s">
        <v>2574</v>
      </c>
      <c r="G206" s="24"/>
      <c r="H206" s="24"/>
      <c r="I206" s="19" t="s">
        <v>1783</v>
      </c>
      <c r="J206" s="19" t="s">
        <v>95</v>
      </c>
      <c r="K206" s="24"/>
      <c r="L206" s="20" t="str">
        <f t="shared" si="6"/>
        <v/>
      </c>
      <c r="M206" s="21">
        <f t="shared" si="7"/>
        <v>3</v>
      </c>
    </row>
    <row r="207" spans="1:13" ht="15" customHeight="1">
      <c r="A207" s="17" t="s">
        <v>2575</v>
      </c>
      <c r="B207" s="17">
        <v>4</v>
      </c>
      <c r="C207" s="17" t="s">
        <v>203</v>
      </c>
      <c r="D207" s="17" t="s">
        <v>2576</v>
      </c>
      <c r="E207" s="18" t="s">
        <v>2577</v>
      </c>
      <c r="F207" s="17" t="s">
        <v>2578</v>
      </c>
      <c r="G207" s="24"/>
      <c r="H207" s="24"/>
      <c r="I207" s="19" t="s">
        <v>1783</v>
      </c>
      <c r="J207" s="19" t="s">
        <v>95</v>
      </c>
      <c r="K207" s="24"/>
      <c r="L207" s="20" t="str">
        <f t="shared" si="6"/>
        <v/>
      </c>
      <c r="M207" s="21">
        <f t="shared" si="7"/>
        <v>3</v>
      </c>
    </row>
    <row r="208" spans="1:13" ht="15" customHeight="1">
      <c r="A208" s="17" t="s">
        <v>2579</v>
      </c>
      <c r="B208" s="17">
        <v>4</v>
      </c>
      <c r="C208" s="17" t="s">
        <v>203</v>
      </c>
      <c r="D208" s="17" t="s">
        <v>2580</v>
      </c>
      <c r="E208" s="18" t="s">
        <v>2581</v>
      </c>
      <c r="F208" s="17" t="s">
        <v>1194</v>
      </c>
      <c r="G208" s="24"/>
      <c r="H208" s="24"/>
      <c r="I208" s="19" t="s">
        <v>1783</v>
      </c>
      <c r="J208" s="19" t="s">
        <v>95</v>
      </c>
      <c r="K208" s="24"/>
      <c r="L208" s="20" t="str">
        <f t="shared" si="6"/>
        <v/>
      </c>
      <c r="M208" s="21">
        <f t="shared" si="7"/>
        <v>3</v>
      </c>
    </row>
    <row r="209" spans="1:13" ht="15" customHeight="1">
      <c r="A209" s="17" t="s">
        <v>2582</v>
      </c>
      <c r="B209" s="17">
        <v>4</v>
      </c>
      <c r="C209" s="17" t="s">
        <v>203</v>
      </c>
      <c r="D209" s="17" t="s">
        <v>2583</v>
      </c>
      <c r="E209" s="18" t="s">
        <v>2584</v>
      </c>
      <c r="F209" s="17" t="s">
        <v>2585</v>
      </c>
      <c r="G209" s="24"/>
      <c r="H209" s="24"/>
      <c r="I209" s="19" t="s">
        <v>1783</v>
      </c>
      <c r="J209" s="19" t="s">
        <v>95</v>
      </c>
      <c r="K209" s="24"/>
      <c r="L209" s="20" t="str">
        <f t="shared" si="6"/>
        <v/>
      </c>
      <c r="M209" s="21">
        <f t="shared" si="7"/>
        <v>6</v>
      </c>
    </row>
    <row r="210" spans="1:13" ht="15" customHeight="1">
      <c r="A210" s="17" t="s">
        <v>2586</v>
      </c>
      <c r="B210" s="17">
        <v>4</v>
      </c>
      <c r="C210" s="17" t="s">
        <v>203</v>
      </c>
      <c r="D210" s="17" t="s">
        <v>2587</v>
      </c>
      <c r="E210" s="18" t="s">
        <v>2588</v>
      </c>
      <c r="F210" s="17" t="s">
        <v>1200</v>
      </c>
      <c r="G210" s="24"/>
      <c r="H210" s="24"/>
      <c r="I210" s="19" t="s">
        <v>1783</v>
      </c>
      <c r="J210" s="19" t="s">
        <v>95</v>
      </c>
      <c r="K210" s="24"/>
      <c r="L210" s="20" t="str">
        <f t="shared" si="6"/>
        <v/>
      </c>
      <c r="M210" s="21">
        <f t="shared" si="7"/>
        <v>4</v>
      </c>
    </row>
    <row r="211" spans="1:13" ht="15" customHeight="1">
      <c r="A211" s="17" t="s">
        <v>2589</v>
      </c>
      <c r="B211" s="17">
        <v>4</v>
      </c>
      <c r="C211" s="17" t="s">
        <v>203</v>
      </c>
      <c r="D211" s="17" t="s">
        <v>2590</v>
      </c>
      <c r="E211" s="18" t="s">
        <v>2591</v>
      </c>
      <c r="F211" s="17" t="s">
        <v>2592</v>
      </c>
      <c r="G211" s="24"/>
      <c r="H211" s="24"/>
      <c r="I211" s="19" t="s">
        <v>1783</v>
      </c>
      <c r="J211" s="19" t="s">
        <v>95</v>
      </c>
      <c r="K211" s="24"/>
      <c r="L211" s="20" t="str">
        <f t="shared" si="6"/>
        <v/>
      </c>
      <c r="M211" s="21">
        <f t="shared" si="7"/>
        <v>5</v>
      </c>
    </row>
    <row r="212" spans="1:13" ht="15" customHeight="1">
      <c r="A212" s="17" t="s">
        <v>2593</v>
      </c>
      <c r="B212" s="17">
        <v>5</v>
      </c>
      <c r="C212" s="17" t="s">
        <v>203</v>
      </c>
      <c r="D212" s="17" t="s">
        <v>2594</v>
      </c>
      <c r="E212" s="18" t="s">
        <v>2595</v>
      </c>
      <c r="F212" s="17" t="s">
        <v>2596</v>
      </c>
      <c r="G212" s="24"/>
      <c r="H212" s="24"/>
      <c r="I212" s="19" t="s">
        <v>1783</v>
      </c>
      <c r="J212" s="19" t="s">
        <v>95</v>
      </c>
      <c r="K212" s="24"/>
      <c r="L212" s="20" t="str">
        <f t="shared" si="6"/>
        <v/>
      </c>
      <c r="M212" s="21">
        <f t="shared" si="7"/>
        <v>8</v>
      </c>
    </row>
    <row r="213" spans="1:13" ht="15" customHeight="1">
      <c r="A213" s="17" t="s">
        <v>2597</v>
      </c>
      <c r="B213" s="17">
        <v>5</v>
      </c>
      <c r="C213" s="17" t="s">
        <v>203</v>
      </c>
      <c r="D213" s="17" t="s">
        <v>2598</v>
      </c>
      <c r="E213" s="18" t="s">
        <v>2599</v>
      </c>
      <c r="F213" s="17" t="s">
        <v>2600</v>
      </c>
      <c r="G213" s="24"/>
      <c r="H213" s="24"/>
      <c r="I213" s="19" t="s">
        <v>1783</v>
      </c>
      <c r="J213" s="19" t="s">
        <v>95</v>
      </c>
      <c r="K213" s="24"/>
      <c r="L213" s="20" t="str">
        <f t="shared" si="6"/>
        <v/>
      </c>
      <c r="M213" s="21">
        <f t="shared" si="7"/>
        <v>5</v>
      </c>
    </row>
    <row r="214" spans="1:13" ht="15" customHeight="1">
      <c r="A214" s="17" t="s">
        <v>2601</v>
      </c>
      <c r="B214" s="17">
        <v>5</v>
      </c>
      <c r="C214" s="17" t="s">
        <v>203</v>
      </c>
      <c r="D214" s="17" t="s">
        <v>2602</v>
      </c>
      <c r="E214" s="18" t="s">
        <v>2603</v>
      </c>
      <c r="F214" s="17" t="s">
        <v>2604</v>
      </c>
      <c r="G214" s="24"/>
      <c r="H214" s="24"/>
      <c r="I214" s="19" t="s">
        <v>1783</v>
      </c>
      <c r="J214" s="19" t="s">
        <v>95</v>
      </c>
      <c r="K214" s="24"/>
      <c r="L214" s="20" t="str">
        <f t="shared" si="6"/>
        <v/>
      </c>
      <c r="M214" s="21">
        <f t="shared" si="7"/>
        <v>4</v>
      </c>
    </row>
    <row r="215" spans="1:13" ht="15" customHeight="1">
      <c r="A215" s="17" t="s">
        <v>2605</v>
      </c>
      <c r="B215" s="17">
        <v>5</v>
      </c>
      <c r="C215" s="17" t="s">
        <v>203</v>
      </c>
      <c r="D215" s="17" t="s">
        <v>2606</v>
      </c>
      <c r="E215" s="18" t="s">
        <v>2607</v>
      </c>
      <c r="F215" s="17" t="s">
        <v>1215</v>
      </c>
      <c r="G215" s="24"/>
      <c r="H215" s="24"/>
      <c r="I215" s="19" t="s">
        <v>1783</v>
      </c>
      <c r="J215" s="19" t="s">
        <v>95</v>
      </c>
      <c r="K215" s="24"/>
      <c r="L215" s="20" t="str">
        <f t="shared" si="6"/>
        <v/>
      </c>
      <c r="M215" s="21">
        <f t="shared" si="7"/>
        <v>7</v>
      </c>
    </row>
    <row r="216" spans="1:13" ht="15" customHeight="1">
      <c r="A216" s="17" t="s">
        <v>2608</v>
      </c>
      <c r="B216" s="17">
        <v>5</v>
      </c>
      <c r="C216" s="17" t="s">
        <v>203</v>
      </c>
      <c r="D216" s="17" t="s">
        <v>2609</v>
      </c>
      <c r="E216" s="18" t="s">
        <v>2610</v>
      </c>
      <c r="F216" s="17" t="s">
        <v>2611</v>
      </c>
      <c r="G216" s="24"/>
      <c r="H216" s="24"/>
      <c r="I216" s="19" t="s">
        <v>1783</v>
      </c>
      <c r="J216" s="19" t="s">
        <v>95</v>
      </c>
      <c r="K216" s="24"/>
      <c r="L216" s="20" t="str">
        <f t="shared" si="6"/>
        <v/>
      </c>
      <c r="M216" s="21">
        <f t="shared" si="7"/>
        <v>5</v>
      </c>
    </row>
    <row r="217" spans="1:13" ht="15" customHeight="1">
      <c r="A217" s="17" t="s">
        <v>2612</v>
      </c>
      <c r="B217" s="17">
        <v>6</v>
      </c>
      <c r="C217" s="17" t="s">
        <v>203</v>
      </c>
      <c r="D217" s="17" t="s">
        <v>2613</v>
      </c>
      <c r="E217" s="18" t="s">
        <v>2614</v>
      </c>
      <c r="F217" s="17" t="s">
        <v>2615</v>
      </c>
      <c r="G217" s="24"/>
      <c r="H217" s="24"/>
      <c r="I217" s="19" t="s">
        <v>1783</v>
      </c>
      <c r="J217" s="19" t="s">
        <v>95</v>
      </c>
      <c r="K217" s="24"/>
      <c r="L217" s="20" t="str">
        <f t="shared" si="6"/>
        <v/>
      </c>
      <c r="M217" s="21">
        <f t="shared" si="7"/>
        <v>8</v>
      </c>
    </row>
    <row r="218" spans="1:13" ht="15" customHeight="1">
      <c r="A218" s="17" t="s">
        <v>2616</v>
      </c>
      <c r="B218" s="17">
        <v>6</v>
      </c>
      <c r="C218" s="17" t="s">
        <v>203</v>
      </c>
      <c r="D218" s="17" t="s">
        <v>2617</v>
      </c>
      <c r="E218" s="18" t="s">
        <v>2618</v>
      </c>
      <c r="F218" s="17" t="s">
        <v>2619</v>
      </c>
      <c r="G218" s="24"/>
      <c r="H218" s="24"/>
      <c r="I218" s="19" t="s">
        <v>1783</v>
      </c>
      <c r="J218" s="19" t="s">
        <v>95</v>
      </c>
      <c r="K218" s="24"/>
      <c r="L218" s="20" t="str">
        <f t="shared" si="6"/>
        <v/>
      </c>
      <c r="M218" s="21">
        <f t="shared" si="7"/>
        <v>6</v>
      </c>
    </row>
    <row r="219" spans="1:13" ht="15" customHeight="1">
      <c r="A219" s="17" t="s">
        <v>2620</v>
      </c>
      <c r="B219" s="17">
        <v>6</v>
      </c>
      <c r="C219" s="17" t="s">
        <v>203</v>
      </c>
      <c r="D219" s="17" t="s">
        <v>2621</v>
      </c>
      <c r="E219" s="18" t="s">
        <v>2622</v>
      </c>
      <c r="F219" s="17" t="s">
        <v>2623</v>
      </c>
      <c r="G219" s="24"/>
      <c r="H219" s="24"/>
      <c r="I219" s="19" t="s">
        <v>1783</v>
      </c>
      <c r="J219" s="19" t="s">
        <v>95</v>
      </c>
      <c r="K219" s="24"/>
      <c r="L219" s="20" t="str">
        <f t="shared" si="6"/>
        <v/>
      </c>
      <c r="M219" s="21">
        <f t="shared" si="7"/>
        <v>5</v>
      </c>
    </row>
    <row r="220" spans="1:13" ht="15" customHeight="1">
      <c r="A220" s="17" t="s">
        <v>2624</v>
      </c>
      <c r="B220" s="17">
        <v>6</v>
      </c>
      <c r="C220" s="17" t="s">
        <v>203</v>
      </c>
      <c r="D220" s="17" t="s">
        <v>2625</v>
      </c>
      <c r="E220" s="18" t="s">
        <v>2626</v>
      </c>
      <c r="F220" s="17" t="s">
        <v>2627</v>
      </c>
      <c r="G220" s="24"/>
      <c r="H220" s="24"/>
      <c r="I220" s="19" t="s">
        <v>1783</v>
      </c>
      <c r="J220" s="19" t="s">
        <v>95</v>
      </c>
      <c r="K220" s="24"/>
      <c r="L220" s="20" t="str">
        <f t="shared" si="6"/>
        <v/>
      </c>
      <c r="M220" s="21">
        <f t="shared" si="7"/>
        <v>5</v>
      </c>
    </row>
    <row r="221" spans="1:13" ht="15" customHeight="1">
      <c r="A221" s="17" t="s">
        <v>2628</v>
      </c>
      <c r="B221" s="17">
        <v>6</v>
      </c>
      <c r="C221" s="17" t="s">
        <v>203</v>
      </c>
      <c r="D221" s="17" t="s">
        <v>2629</v>
      </c>
      <c r="E221" s="18" t="s">
        <v>2630</v>
      </c>
      <c r="F221" s="17" t="s">
        <v>2631</v>
      </c>
      <c r="G221" s="24"/>
      <c r="H221" s="24"/>
      <c r="I221" s="19" t="s">
        <v>1783</v>
      </c>
      <c r="J221" s="19" t="s">
        <v>95</v>
      </c>
      <c r="K221" s="24"/>
      <c r="L221" s="20" t="str">
        <f t="shared" si="6"/>
        <v/>
      </c>
      <c r="M221" s="21">
        <f t="shared" si="7"/>
        <v>5</v>
      </c>
    </row>
    <row r="222" spans="1:13" ht="15" customHeight="1">
      <c r="A222" s="17" t="s">
        <v>2632</v>
      </c>
      <c r="B222" s="17">
        <v>3</v>
      </c>
      <c r="C222" s="17" t="s">
        <v>210</v>
      </c>
      <c r="D222" s="17" t="s">
        <v>2633</v>
      </c>
      <c r="E222" s="18" t="s">
        <v>2634</v>
      </c>
      <c r="F222" s="17" t="s">
        <v>2635</v>
      </c>
      <c r="G222" s="24"/>
      <c r="H222" s="24"/>
      <c r="I222" s="19" t="s">
        <v>1783</v>
      </c>
      <c r="J222" s="19" t="s">
        <v>95</v>
      </c>
      <c r="K222" s="24"/>
      <c r="L222" s="20" t="str">
        <f t="shared" si="6"/>
        <v/>
      </c>
      <c r="M222" s="21">
        <f t="shared" si="7"/>
        <v>3</v>
      </c>
    </row>
    <row r="223" spans="1:13" ht="15" customHeight="1">
      <c r="A223" s="17" t="s">
        <v>2636</v>
      </c>
      <c r="B223" s="17">
        <v>3</v>
      </c>
      <c r="C223" s="17" t="s">
        <v>210</v>
      </c>
      <c r="D223" s="17" t="s">
        <v>2637</v>
      </c>
      <c r="E223" s="18" t="s">
        <v>2638</v>
      </c>
      <c r="F223" s="17" t="s">
        <v>769</v>
      </c>
      <c r="G223" s="24"/>
      <c r="H223" s="24"/>
      <c r="I223" s="19" t="s">
        <v>1783</v>
      </c>
      <c r="J223" s="19" t="s">
        <v>95</v>
      </c>
      <c r="K223" s="24"/>
      <c r="L223" s="20" t="str">
        <f t="shared" si="6"/>
        <v/>
      </c>
      <c r="M223" s="21">
        <f t="shared" si="7"/>
        <v>4</v>
      </c>
    </row>
    <row r="224" spans="1:13" ht="15" customHeight="1">
      <c r="A224" s="17" t="s">
        <v>2639</v>
      </c>
      <c r="B224" s="17">
        <v>3</v>
      </c>
      <c r="C224" s="17" t="s">
        <v>210</v>
      </c>
      <c r="D224" s="17" t="s">
        <v>2640</v>
      </c>
      <c r="E224" s="18" t="s">
        <v>2641</v>
      </c>
      <c r="F224" s="17" t="s">
        <v>2642</v>
      </c>
      <c r="G224" s="24"/>
      <c r="H224" s="24"/>
      <c r="I224" s="19" t="s">
        <v>1783</v>
      </c>
      <c r="J224" s="19" t="s">
        <v>95</v>
      </c>
      <c r="K224" s="24"/>
      <c r="L224" s="20" t="str">
        <f t="shared" si="6"/>
        <v/>
      </c>
      <c r="M224" s="21">
        <f t="shared" si="7"/>
        <v>4</v>
      </c>
    </row>
    <row r="225" spans="1:13" ht="15" customHeight="1">
      <c r="A225" s="17" t="s">
        <v>2643</v>
      </c>
      <c r="B225" s="17">
        <v>3</v>
      </c>
      <c r="C225" s="17" t="s">
        <v>210</v>
      </c>
      <c r="D225" s="17" t="s">
        <v>2644</v>
      </c>
      <c r="E225" s="18" t="s">
        <v>2645</v>
      </c>
      <c r="F225" s="17" t="s">
        <v>2646</v>
      </c>
      <c r="G225" s="24"/>
      <c r="H225" s="24"/>
      <c r="I225" s="19" t="s">
        <v>1783</v>
      </c>
      <c r="J225" s="19" t="s">
        <v>95</v>
      </c>
      <c r="K225" s="24"/>
      <c r="L225" s="20" t="str">
        <f t="shared" si="6"/>
        <v/>
      </c>
      <c r="M225" s="21">
        <f t="shared" si="7"/>
        <v>4</v>
      </c>
    </row>
    <row r="226" spans="1:13" ht="15" customHeight="1">
      <c r="A226" s="17" t="s">
        <v>2647</v>
      </c>
      <c r="B226" s="17">
        <v>3</v>
      </c>
      <c r="C226" s="17" t="s">
        <v>210</v>
      </c>
      <c r="D226" s="17" t="s">
        <v>2648</v>
      </c>
      <c r="E226" s="18" t="s">
        <v>2649</v>
      </c>
      <c r="F226" s="17" t="s">
        <v>2650</v>
      </c>
      <c r="G226" s="24"/>
      <c r="H226" s="24"/>
      <c r="I226" s="19" t="s">
        <v>1783</v>
      </c>
      <c r="J226" s="19" t="s">
        <v>95</v>
      </c>
      <c r="K226" s="24"/>
      <c r="L226" s="20" t="str">
        <f t="shared" si="6"/>
        <v/>
      </c>
      <c r="M226" s="21">
        <f t="shared" si="7"/>
        <v>6</v>
      </c>
    </row>
    <row r="227" spans="1:13" ht="15" customHeight="1">
      <c r="A227" s="17" t="s">
        <v>2651</v>
      </c>
      <c r="B227" s="17">
        <v>4</v>
      </c>
      <c r="C227" s="17" t="s">
        <v>210</v>
      </c>
      <c r="D227" s="17" t="s">
        <v>2652</v>
      </c>
      <c r="E227" s="18" t="s">
        <v>2653</v>
      </c>
      <c r="F227" s="17" t="s">
        <v>2654</v>
      </c>
      <c r="G227" s="24"/>
      <c r="H227" s="24"/>
      <c r="I227" s="19" t="s">
        <v>1783</v>
      </c>
      <c r="J227" s="19" t="s">
        <v>95</v>
      </c>
      <c r="K227" s="24"/>
      <c r="L227" s="20" t="str">
        <f t="shared" si="6"/>
        <v/>
      </c>
      <c r="M227" s="21">
        <f t="shared" si="7"/>
        <v>8</v>
      </c>
    </row>
    <row r="228" spans="1:13" ht="15" customHeight="1">
      <c r="A228" s="17" t="s">
        <v>2655</v>
      </c>
      <c r="B228" s="17">
        <v>4</v>
      </c>
      <c r="C228" s="17" t="s">
        <v>210</v>
      </c>
      <c r="D228" s="17" t="s">
        <v>2656</v>
      </c>
      <c r="E228" s="18" t="s">
        <v>2657</v>
      </c>
      <c r="F228" s="17" t="s">
        <v>2658</v>
      </c>
      <c r="G228" s="24"/>
      <c r="H228" s="24"/>
      <c r="I228" s="19" t="s">
        <v>1783</v>
      </c>
      <c r="J228" s="19" t="s">
        <v>95</v>
      </c>
      <c r="K228" s="24"/>
      <c r="L228" s="20" t="str">
        <f t="shared" si="6"/>
        <v/>
      </c>
      <c r="M228" s="21">
        <f t="shared" si="7"/>
        <v>10</v>
      </c>
    </row>
    <row r="229" spans="1:13" ht="15" customHeight="1">
      <c r="A229" s="17" t="s">
        <v>2659</v>
      </c>
      <c r="B229" s="17">
        <v>4</v>
      </c>
      <c r="C229" s="17" t="s">
        <v>210</v>
      </c>
      <c r="D229" s="17" t="s">
        <v>2660</v>
      </c>
      <c r="E229" s="18" t="s">
        <v>2661</v>
      </c>
      <c r="F229" s="17" t="s">
        <v>2662</v>
      </c>
      <c r="G229" s="24"/>
      <c r="H229" s="24"/>
      <c r="I229" s="19" t="s">
        <v>1783</v>
      </c>
      <c r="J229" s="19" t="s">
        <v>95</v>
      </c>
      <c r="K229" s="24"/>
      <c r="L229" s="20" t="str">
        <f t="shared" si="6"/>
        <v/>
      </c>
      <c r="M229" s="21">
        <f t="shared" si="7"/>
        <v>9</v>
      </c>
    </row>
    <row r="230" spans="1:13" ht="15" customHeight="1">
      <c r="A230" s="17" t="s">
        <v>2663</v>
      </c>
      <c r="B230" s="17">
        <v>4</v>
      </c>
      <c r="C230" s="17" t="s">
        <v>210</v>
      </c>
      <c r="D230" s="17" t="s">
        <v>2664</v>
      </c>
      <c r="E230" s="18" t="s">
        <v>2665</v>
      </c>
      <c r="F230" s="17" t="s">
        <v>2666</v>
      </c>
      <c r="G230" s="24"/>
      <c r="H230" s="24"/>
      <c r="I230" s="19" t="s">
        <v>1783</v>
      </c>
      <c r="J230" s="19" t="s">
        <v>95</v>
      </c>
      <c r="K230" s="24"/>
      <c r="L230" s="20" t="str">
        <f t="shared" si="6"/>
        <v/>
      </c>
      <c r="M230" s="21">
        <f t="shared" si="7"/>
        <v>4</v>
      </c>
    </row>
    <row r="231" spans="1:13" ht="15" customHeight="1">
      <c r="A231" s="17" t="s">
        <v>2667</v>
      </c>
      <c r="B231" s="17">
        <v>4</v>
      </c>
      <c r="C231" s="17" t="s">
        <v>210</v>
      </c>
      <c r="D231" s="17" t="s">
        <v>2668</v>
      </c>
      <c r="E231" s="18" t="s">
        <v>2669</v>
      </c>
      <c r="F231" s="17" t="s">
        <v>2670</v>
      </c>
      <c r="G231" s="24"/>
      <c r="H231" s="24"/>
      <c r="I231" s="19" t="s">
        <v>1783</v>
      </c>
      <c r="J231" s="19" t="s">
        <v>95</v>
      </c>
      <c r="K231" s="24"/>
      <c r="L231" s="20" t="str">
        <f t="shared" si="6"/>
        <v/>
      </c>
      <c r="M231" s="21">
        <f t="shared" si="7"/>
        <v>4</v>
      </c>
    </row>
    <row r="232" spans="1:13" ht="15" customHeight="1">
      <c r="A232" s="17" t="s">
        <v>2671</v>
      </c>
      <c r="B232" s="17">
        <v>5</v>
      </c>
      <c r="C232" s="17" t="s">
        <v>210</v>
      </c>
      <c r="D232" s="17" t="s">
        <v>2672</v>
      </c>
      <c r="E232" s="18" t="s">
        <v>2673</v>
      </c>
      <c r="F232" s="17" t="s">
        <v>2674</v>
      </c>
      <c r="G232" s="24"/>
      <c r="H232" s="24"/>
      <c r="I232" s="19" t="s">
        <v>1783</v>
      </c>
      <c r="J232" s="19" t="s">
        <v>95</v>
      </c>
      <c r="K232" s="24"/>
      <c r="L232" s="20" t="str">
        <f t="shared" si="6"/>
        <v/>
      </c>
      <c r="M232" s="21">
        <f t="shared" si="7"/>
        <v>7</v>
      </c>
    </row>
    <row r="233" spans="1:13" ht="15" customHeight="1">
      <c r="A233" s="17" t="s">
        <v>2675</v>
      </c>
      <c r="B233" s="17">
        <v>5</v>
      </c>
      <c r="C233" s="17" t="s">
        <v>210</v>
      </c>
      <c r="D233" s="17" t="s">
        <v>2676</v>
      </c>
      <c r="E233" s="18" t="s">
        <v>2677</v>
      </c>
      <c r="F233" s="17" t="s">
        <v>2678</v>
      </c>
      <c r="G233" s="24"/>
      <c r="H233" s="24"/>
      <c r="I233" s="19" t="s">
        <v>1783</v>
      </c>
      <c r="J233" s="19" t="s">
        <v>95</v>
      </c>
      <c r="K233" s="24"/>
      <c r="L233" s="20" t="str">
        <f t="shared" si="6"/>
        <v/>
      </c>
      <c r="M233" s="21">
        <f t="shared" si="7"/>
        <v>5</v>
      </c>
    </row>
    <row r="234" spans="1:13" ht="15" customHeight="1">
      <c r="A234" s="17" t="s">
        <v>2679</v>
      </c>
      <c r="B234" s="17">
        <v>5</v>
      </c>
      <c r="C234" s="17" t="s">
        <v>210</v>
      </c>
      <c r="D234" s="17" t="s">
        <v>2680</v>
      </c>
      <c r="E234" s="18" t="s">
        <v>2681</v>
      </c>
      <c r="F234" s="17" t="s">
        <v>2682</v>
      </c>
      <c r="G234" s="24"/>
      <c r="H234" s="24"/>
      <c r="I234" s="19" t="s">
        <v>1783</v>
      </c>
      <c r="J234" s="19" t="s">
        <v>95</v>
      </c>
      <c r="K234" s="24"/>
      <c r="L234" s="20" t="str">
        <f t="shared" si="6"/>
        <v/>
      </c>
      <c r="M234" s="21">
        <f t="shared" si="7"/>
        <v>8</v>
      </c>
    </row>
    <row r="235" spans="1:13" ht="15" customHeight="1">
      <c r="A235" s="17" t="s">
        <v>2683</v>
      </c>
      <c r="B235" s="17">
        <v>5</v>
      </c>
      <c r="C235" s="17" t="s">
        <v>210</v>
      </c>
      <c r="D235" s="17" t="s">
        <v>2684</v>
      </c>
      <c r="E235" s="18" t="s">
        <v>2685</v>
      </c>
      <c r="F235" s="17" t="s">
        <v>2686</v>
      </c>
      <c r="G235" s="24"/>
      <c r="H235" s="24"/>
      <c r="I235" s="19" t="s">
        <v>1783</v>
      </c>
      <c r="J235" s="19" t="s">
        <v>95</v>
      </c>
      <c r="K235" s="24"/>
      <c r="L235" s="20" t="str">
        <f t="shared" si="6"/>
        <v/>
      </c>
      <c r="M235" s="21">
        <f t="shared" si="7"/>
        <v>7</v>
      </c>
    </row>
    <row r="236" spans="1:13" ht="15" customHeight="1">
      <c r="A236" s="17" t="s">
        <v>2687</v>
      </c>
      <c r="B236" s="17">
        <v>5</v>
      </c>
      <c r="C236" s="17" t="s">
        <v>210</v>
      </c>
      <c r="D236" s="17" t="s">
        <v>2688</v>
      </c>
      <c r="E236" s="18" t="s">
        <v>2689</v>
      </c>
      <c r="F236" s="17" t="s">
        <v>2690</v>
      </c>
      <c r="G236" s="24"/>
      <c r="H236" s="24"/>
      <c r="I236" s="19" t="s">
        <v>1783</v>
      </c>
      <c r="J236" s="19" t="s">
        <v>95</v>
      </c>
      <c r="K236" s="24"/>
      <c r="L236" s="20" t="str">
        <f t="shared" si="6"/>
        <v/>
      </c>
      <c r="M236" s="21">
        <f t="shared" si="7"/>
        <v>7</v>
      </c>
    </row>
    <row r="237" spans="1:13" ht="15" customHeight="1">
      <c r="A237" s="17" t="s">
        <v>2691</v>
      </c>
      <c r="B237" s="17">
        <v>6</v>
      </c>
      <c r="C237" s="17" t="s">
        <v>210</v>
      </c>
      <c r="D237" s="17" t="s">
        <v>2692</v>
      </c>
      <c r="E237" s="18" t="s">
        <v>2693</v>
      </c>
      <c r="F237" s="17" t="s">
        <v>2694</v>
      </c>
      <c r="G237" s="24"/>
      <c r="H237" s="24"/>
      <c r="I237" s="19" t="s">
        <v>1783</v>
      </c>
      <c r="J237" s="19" t="s">
        <v>95</v>
      </c>
      <c r="K237" s="24"/>
      <c r="L237" s="20" t="str">
        <f t="shared" si="6"/>
        <v/>
      </c>
      <c r="M237" s="21">
        <f t="shared" si="7"/>
        <v>8</v>
      </c>
    </row>
    <row r="238" spans="1:13" ht="15" customHeight="1">
      <c r="A238" s="17" t="s">
        <v>2695</v>
      </c>
      <c r="B238" s="17">
        <v>6</v>
      </c>
      <c r="C238" s="17" t="s">
        <v>210</v>
      </c>
      <c r="D238" s="17" t="s">
        <v>2696</v>
      </c>
      <c r="E238" s="18" t="s">
        <v>2697</v>
      </c>
      <c r="F238" s="17" t="s">
        <v>2698</v>
      </c>
      <c r="G238" s="24"/>
      <c r="H238" s="24"/>
      <c r="I238" s="19" t="s">
        <v>1783</v>
      </c>
      <c r="J238" s="19" t="s">
        <v>95</v>
      </c>
      <c r="K238" s="24"/>
      <c r="L238" s="20" t="str">
        <f t="shared" si="6"/>
        <v/>
      </c>
      <c r="M238" s="21">
        <f t="shared" si="7"/>
        <v>10</v>
      </c>
    </row>
    <row r="239" spans="1:13" ht="15" customHeight="1">
      <c r="A239" s="17" t="s">
        <v>2699</v>
      </c>
      <c r="B239" s="17">
        <v>6</v>
      </c>
      <c r="C239" s="17" t="s">
        <v>210</v>
      </c>
      <c r="D239" s="17" t="s">
        <v>2700</v>
      </c>
      <c r="E239" s="18" t="s">
        <v>2701</v>
      </c>
      <c r="F239" s="17" t="s">
        <v>2702</v>
      </c>
      <c r="G239" s="24"/>
      <c r="H239" s="24"/>
      <c r="I239" s="19" t="s">
        <v>1783</v>
      </c>
      <c r="J239" s="19" t="s">
        <v>95</v>
      </c>
      <c r="K239" s="24"/>
      <c r="L239" s="20" t="str">
        <f t="shared" si="6"/>
        <v/>
      </c>
      <c r="M239" s="21">
        <f t="shared" si="7"/>
        <v>9</v>
      </c>
    </row>
    <row r="240" spans="1:13" ht="15" customHeight="1">
      <c r="A240" s="17" t="s">
        <v>2703</v>
      </c>
      <c r="B240" s="17">
        <v>6</v>
      </c>
      <c r="C240" s="17" t="s">
        <v>210</v>
      </c>
      <c r="D240" s="17" t="s">
        <v>2704</v>
      </c>
      <c r="E240" s="18" t="s">
        <v>2705</v>
      </c>
      <c r="F240" s="17" t="s">
        <v>2706</v>
      </c>
      <c r="G240" s="24"/>
      <c r="H240" s="24"/>
      <c r="I240" s="19" t="s">
        <v>1783</v>
      </c>
      <c r="J240" s="19" t="s">
        <v>95</v>
      </c>
      <c r="K240" s="24"/>
      <c r="L240" s="20" t="str">
        <f t="shared" si="6"/>
        <v/>
      </c>
      <c r="M240" s="21">
        <f t="shared" si="7"/>
        <v>8</v>
      </c>
    </row>
    <row r="241" spans="1:13" ht="15" customHeight="1">
      <c r="A241" s="17" t="s">
        <v>2707</v>
      </c>
      <c r="B241" s="17">
        <v>6</v>
      </c>
      <c r="C241" s="17" t="s">
        <v>210</v>
      </c>
      <c r="D241" s="17" t="s">
        <v>2708</v>
      </c>
      <c r="E241" s="18" t="s">
        <v>2709</v>
      </c>
      <c r="F241" s="17" t="s">
        <v>2710</v>
      </c>
      <c r="G241" s="24"/>
      <c r="H241" s="24"/>
      <c r="I241" s="19" t="s">
        <v>1783</v>
      </c>
      <c r="J241" s="19" t="s">
        <v>95</v>
      </c>
      <c r="K241" s="24"/>
      <c r="L241" s="20" t="str">
        <f t="shared" si="6"/>
        <v/>
      </c>
      <c r="M241" s="21">
        <f t="shared" si="7"/>
        <v>11</v>
      </c>
    </row>
    <row r="242" spans="1:13" ht="15" customHeight="1">
      <c r="A242" s="17" t="s">
        <v>2711</v>
      </c>
      <c r="B242" s="17">
        <v>3</v>
      </c>
      <c r="C242" s="17" t="s">
        <v>217</v>
      </c>
      <c r="D242" s="17" t="s">
        <v>2712</v>
      </c>
      <c r="E242" s="18" t="s">
        <v>2713</v>
      </c>
      <c r="F242" s="17" t="s">
        <v>2714</v>
      </c>
      <c r="G242" s="24"/>
      <c r="H242" s="24"/>
      <c r="I242" s="19" t="s">
        <v>1783</v>
      </c>
      <c r="J242" s="19" t="s">
        <v>95</v>
      </c>
      <c r="K242" s="24"/>
      <c r="L242" s="20" t="str">
        <f t="shared" si="6"/>
        <v/>
      </c>
      <c r="M242" s="21">
        <f t="shared" si="7"/>
        <v>4</v>
      </c>
    </row>
    <row r="243" spans="1:13" ht="15" customHeight="1">
      <c r="A243" s="17" t="s">
        <v>2715</v>
      </c>
      <c r="B243" s="17">
        <v>3</v>
      </c>
      <c r="C243" s="17" t="s">
        <v>217</v>
      </c>
      <c r="D243" s="17" t="s">
        <v>2716</v>
      </c>
      <c r="E243" s="18" t="s">
        <v>2717</v>
      </c>
      <c r="F243" s="17" t="s">
        <v>2718</v>
      </c>
      <c r="G243" s="24"/>
      <c r="H243" s="24"/>
      <c r="I243" s="19" t="s">
        <v>1783</v>
      </c>
      <c r="J243" s="19" t="s">
        <v>95</v>
      </c>
      <c r="K243" s="24"/>
      <c r="L243" s="20" t="str">
        <f t="shared" si="6"/>
        <v/>
      </c>
      <c r="M243" s="21">
        <f t="shared" si="7"/>
        <v>4</v>
      </c>
    </row>
    <row r="244" spans="1:13" ht="15" customHeight="1">
      <c r="A244" s="17" t="s">
        <v>2719</v>
      </c>
      <c r="B244" s="17">
        <v>3</v>
      </c>
      <c r="C244" s="17" t="s">
        <v>217</v>
      </c>
      <c r="D244" s="17" t="s">
        <v>2720</v>
      </c>
      <c r="E244" s="18" t="s">
        <v>2721</v>
      </c>
      <c r="F244" s="17" t="s">
        <v>2722</v>
      </c>
      <c r="G244" s="24"/>
      <c r="H244" s="24"/>
      <c r="I244" s="19" t="s">
        <v>1783</v>
      </c>
      <c r="J244" s="19" t="s">
        <v>95</v>
      </c>
      <c r="K244" s="24"/>
      <c r="L244" s="20" t="str">
        <f t="shared" si="6"/>
        <v/>
      </c>
      <c r="M244" s="21">
        <f t="shared" si="7"/>
        <v>5</v>
      </c>
    </row>
    <row r="245" spans="1:13" ht="15" customHeight="1">
      <c r="A245" s="17" t="s">
        <v>2723</v>
      </c>
      <c r="B245" s="17">
        <v>3</v>
      </c>
      <c r="C245" s="17" t="s">
        <v>217</v>
      </c>
      <c r="D245" s="17" t="s">
        <v>2724</v>
      </c>
      <c r="E245" s="18" t="s">
        <v>2725</v>
      </c>
      <c r="F245" s="17" t="s">
        <v>483</v>
      </c>
      <c r="G245" s="24"/>
      <c r="H245" s="24"/>
      <c r="I245" s="19" t="s">
        <v>1783</v>
      </c>
      <c r="J245" s="19" t="s">
        <v>95</v>
      </c>
      <c r="K245" s="24"/>
      <c r="L245" s="20" t="str">
        <f t="shared" si="6"/>
        <v/>
      </c>
      <c r="M245" s="21">
        <f t="shared" si="7"/>
        <v>4</v>
      </c>
    </row>
    <row r="246" spans="1:13" ht="15" customHeight="1">
      <c r="A246" s="17" t="s">
        <v>2726</v>
      </c>
      <c r="B246" s="17">
        <v>3</v>
      </c>
      <c r="C246" s="17" t="s">
        <v>217</v>
      </c>
      <c r="D246" s="17" t="s">
        <v>2727</v>
      </c>
      <c r="E246" s="18" t="s">
        <v>2728</v>
      </c>
      <c r="F246" s="17" t="s">
        <v>2729</v>
      </c>
      <c r="G246" s="24"/>
      <c r="H246" s="24"/>
      <c r="I246" s="19" t="s">
        <v>1783</v>
      </c>
      <c r="J246" s="19" t="s">
        <v>95</v>
      </c>
      <c r="K246" s="24"/>
      <c r="L246" s="20" t="str">
        <f t="shared" si="6"/>
        <v/>
      </c>
      <c r="M246" s="21">
        <f t="shared" si="7"/>
        <v>4</v>
      </c>
    </row>
    <row r="247" spans="1:13" ht="15" customHeight="1">
      <c r="A247" s="17" t="s">
        <v>2730</v>
      </c>
      <c r="B247" s="17">
        <v>4</v>
      </c>
      <c r="C247" s="17" t="s">
        <v>217</v>
      </c>
      <c r="D247" s="17" t="s">
        <v>2731</v>
      </c>
      <c r="E247" s="18" t="s">
        <v>2732</v>
      </c>
      <c r="F247" s="17" t="s">
        <v>2733</v>
      </c>
      <c r="G247" s="24"/>
      <c r="H247" s="24"/>
      <c r="I247" s="19" t="s">
        <v>1783</v>
      </c>
      <c r="J247" s="19" t="s">
        <v>95</v>
      </c>
      <c r="K247" s="24"/>
      <c r="L247" s="20" t="str">
        <f t="shared" si="6"/>
        <v/>
      </c>
      <c r="M247" s="21">
        <f t="shared" si="7"/>
        <v>5</v>
      </c>
    </row>
    <row r="248" spans="1:13" ht="15" customHeight="1">
      <c r="A248" s="17" t="s">
        <v>2734</v>
      </c>
      <c r="B248" s="17">
        <v>4</v>
      </c>
      <c r="C248" s="17" t="s">
        <v>217</v>
      </c>
      <c r="D248" s="17" t="s">
        <v>2735</v>
      </c>
      <c r="E248" s="18" t="s">
        <v>2736</v>
      </c>
      <c r="F248" s="17" t="s">
        <v>2737</v>
      </c>
      <c r="G248" s="24"/>
      <c r="H248" s="24"/>
      <c r="I248" s="19" t="s">
        <v>1783</v>
      </c>
      <c r="J248" s="19" t="s">
        <v>95</v>
      </c>
      <c r="K248" s="24"/>
      <c r="L248" s="20" t="str">
        <f t="shared" si="6"/>
        <v/>
      </c>
      <c r="M248" s="21">
        <f t="shared" si="7"/>
        <v>7</v>
      </c>
    </row>
    <row r="249" spans="1:13" ht="15" customHeight="1">
      <c r="A249" s="17" t="s">
        <v>2738</v>
      </c>
      <c r="B249" s="17">
        <v>4</v>
      </c>
      <c r="C249" s="17" t="s">
        <v>217</v>
      </c>
      <c r="D249" s="17" t="s">
        <v>2739</v>
      </c>
      <c r="E249" s="18" t="s">
        <v>2740</v>
      </c>
      <c r="F249" s="17" t="s">
        <v>2741</v>
      </c>
      <c r="G249" s="24"/>
      <c r="H249" s="24"/>
      <c r="I249" s="19" t="s">
        <v>1783</v>
      </c>
      <c r="J249" s="19" t="s">
        <v>95</v>
      </c>
      <c r="K249" s="24"/>
      <c r="L249" s="20" t="str">
        <f t="shared" si="6"/>
        <v/>
      </c>
      <c r="M249" s="21">
        <f t="shared" si="7"/>
        <v>6</v>
      </c>
    </row>
    <row r="250" spans="1:13" ht="15" customHeight="1">
      <c r="A250" s="17" t="s">
        <v>2742</v>
      </c>
      <c r="B250" s="17">
        <v>4</v>
      </c>
      <c r="C250" s="17" t="s">
        <v>217</v>
      </c>
      <c r="D250" s="17" t="s">
        <v>2743</v>
      </c>
      <c r="E250" s="18" t="s">
        <v>2744</v>
      </c>
      <c r="F250" s="17" t="s">
        <v>2745</v>
      </c>
      <c r="G250" s="24"/>
      <c r="H250" s="24"/>
      <c r="I250" s="19" t="s">
        <v>1783</v>
      </c>
      <c r="J250" s="19" t="s">
        <v>95</v>
      </c>
      <c r="K250" s="24"/>
      <c r="L250" s="20" t="str">
        <f t="shared" si="6"/>
        <v/>
      </c>
      <c r="M250" s="21">
        <f t="shared" si="7"/>
        <v>6</v>
      </c>
    </row>
    <row r="251" spans="1:13" ht="15" customHeight="1">
      <c r="A251" s="17" t="s">
        <v>2746</v>
      </c>
      <c r="B251" s="17">
        <v>4</v>
      </c>
      <c r="C251" s="17" t="s">
        <v>217</v>
      </c>
      <c r="D251" s="17" t="s">
        <v>2747</v>
      </c>
      <c r="E251" s="18" t="s">
        <v>2748</v>
      </c>
      <c r="F251" s="17" t="s">
        <v>2749</v>
      </c>
      <c r="G251" s="24"/>
      <c r="H251" s="24"/>
      <c r="I251" s="19" t="s">
        <v>1783</v>
      </c>
      <c r="J251" s="19" t="s">
        <v>95</v>
      </c>
      <c r="K251" s="24"/>
      <c r="L251" s="20" t="str">
        <f t="shared" si="6"/>
        <v/>
      </c>
      <c r="M251" s="21">
        <f t="shared" si="7"/>
        <v>6</v>
      </c>
    </row>
    <row r="252" spans="1:13" ht="15" customHeight="1">
      <c r="A252" s="17" t="s">
        <v>2750</v>
      </c>
      <c r="B252" s="17">
        <v>5</v>
      </c>
      <c r="C252" s="17" t="s">
        <v>217</v>
      </c>
      <c r="D252" s="17" t="s">
        <v>2751</v>
      </c>
      <c r="E252" s="18" t="s">
        <v>2752</v>
      </c>
      <c r="F252" s="17" t="s">
        <v>2753</v>
      </c>
      <c r="G252" s="24"/>
      <c r="H252" s="24"/>
      <c r="I252" s="19" t="s">
        <v>1783</v>
      </c>
      <c r="J252" s="19" t="s">
        <v>95</v>
      </c>
      <c r="K252" s="24"/>
      <c r="L252" s="20" t="str">
        <f t="shared" si="6"/>
        <v/>
      </c>
      <c r="M252" s="21">
        <f t="shared" si="7"/>
        <v>5</v>
      </c>
    </row>
    <row r="253" spans="1:13" ht="15" customHeight="1">
      <c r="A253" s="17" t="s">
        <v>2754</v>
      </c>
      <c r="B253" s="17">
        <v>5</v>
      </c>
      <c r="C253" s="17" t="s">
        <v>217</v>
      </c>
      <c r="D253" s="17" t="s">
        <v>2755</v>
      </c>
      <c r="E253" s="18" t="s">
        <v>2756</v>
      </c>
      <c r="F253" s="17" t="s">
        <v>2757</v>
      </c>
      <c r="G253" s="24"/>
      <c r="H253" s="24"/>
      <c r="I253" s="19" t="s">
        <v>1783</v>
      </c>
      <c r="J253" s="19" t="s">
        <v>95</v>
      </c>
      <c r="K253" s="24"/>
      <c r="L253" s="20" t="str">
        <f t="shared" si="6"/>
        <v/>
      </c>
      <c r="M253" s="21">
        <f t="shared" si="7"/>
        <v>10</v>
      </c>
    </row>
    <row r="254" spans="1:13" ht="15" customHeight="1">
      <c r="A254" s="17" t="s">
        <v>2758</v>
      </c>
      <c r="B254" s="17">
        <v>5</v>
      </c>
      <c r="C254" s="17" t="s">
        <v>217</v>
      </c>
      <c r="D254" s="17" t="s">
        <v>2759</v>
      </c>
      <c r="E254" s="18" t="s">
        <v>2760</v>
      </c>
      <c r="F254" s="17" t="s">
        <v>2761</v>
      </c>
      <c r="G254" s="24"/>
      <c r="H254" s="24"/>
      <c r="I254" s="19" t="s">
        <v>1783</v>
      </c>
      <c r="J254" s="19" t="s">
        <v>95</v>
      </c>
      <c r="K254" s="24"/>
      <c r="L254" s="20" t="str">
        <f t="shared" si="6"/>
        <v/>
      </c>
      <c r="M254" s="21">
        <f t="shared" si="7"/>
        <v>11</v>
      </c>
    </row>
    <row r="255" spans="1:13" ht="15" customHeight="1">
      <c r="A255" s="17" t="s">
        <v>2762</v>
      </c>
      <c r="B255" s="17">
        <v>5</v>
      </c>
      <c r="C255" s="17" t="s">
        <v>217</v>
      </c>
      <c r="D255" s="17" t="s">
        <v>2763</v>
      </c>
      <c r="E255" s="18" t="s">
        <v>2764</v>
      </c>
      <c r="F255" s="17" t="s">
        <v>2765</v>
      </c>
      <c r="G255" s="24"/>
      <c r="H255" s="24"/>
      <c r="I255" s="19" t="s">
        <v>1783</v>
      </c>
      <c r="J255" s="19" t="s">
        <v>95</v>
      </c>
      <c r="K255" s="24"/>
      <c r="L255" s="20" t="str">
        <f t="shared" si="6"/>
        <v/>
      </c>
      <c r="M255" s="21">
        <f t="shared" si="7"/>
        <v>5</v>
      </c>
    </row>
    <row r="256" spans="1:13" ht="15" customHeight="1">
      <c r="A256" s="17" t="s">
        <v>2766</v>
      </c>
      <c r="B256" s="17">
        <v>5</v>
      </c>
      <c r="C256" s="17" t="s">
        <v>217</v>
      </c>
      <c r="D256" s="17" t="s">
        <v>2767</v>
      </c>
      <c r="E256" s="18" t="s">
        <v>2768</v>
      </c>
      <c r="F256" s="17" t="s">
        <v>2769</v>
      </c>
      <c r="G256" s="24"/>
      <c r="H256" s="24"/>
      <c r="I256" s="19" t="s">
        <v>1783</v>
      </c>
      <c r="J256" s="19" t="s">
        <v>95</v>
      </c>
      <c r="K256" s="24"/>
      <c r="L256" s="20" t="str">
        <f t="shared" si="6"/>
        <v/>
      </c>
      <c r="M256" s="21">
        <f t="shared" si="7"/>
        <v>10</v>
      </c>
    </row>
    <row r="257" spans="1:13" ht="15" customHeight="1">
      <c r="A257" s="17" t="s">
        <v>2770</v>
      </c>
      <c r="B257" s="17">
        <v>6</v>
      </c>
      <c r="C257" s="17" t="s">
        <v>217</v>
      </c>
      <c r="D257" s="17" t="s">
        <v>2771</v>
      </c>
      <c r="E257" s="18" t="s">
        <v>2772</v>
      </c>
      <c r="F257" s="17" t="s">
        <v>2773</v>
      </c>
      <c r="G257" s="24"/>
      <c r="H257" s="24"/>
      <c r="I257" s="19" t="s">
        <v>1783</v>
      </c>
      <c r="J257" s="19" t="s">
        <v>95</v>
      </c>
      <c r="K257" s="24"/>
      <c r="L257" s="20" t="str">
        <f t="shared" si="6"/>
        <v/>
      </c>
      <c r="M257" s="21">
        <f t="shared" si="7"/>
        <v>10</v>
      </c>
    </row>
    <row r="258" spans="1:13" ht="15" customHeight="1">
      <c r="A258" s="17" t="s">
        <v>2774</v>
      </c>
      <c r="B258" s="17">
        <v>6</v>
      </c>
      <c r="C258" s="17" t="s">
        <v>217</v>
      </c>
      <c r="D258" s="17" t="s">
        <v>2775</v>
      </c>
      <c r="E258" s="18" t="s">
        <v>2776</v>
      </c>
      <c r="F258" s="17" t="s">
        <v>2777</v>
      </c>
      <c r="G258" s="24"/>
      <c r="H258" s="24"/>
      <c r="I258" s="19" t="s">
        <v>1783</v>
      </c>
      <c r="J258" s="19" t="s">
        <v>95</v>
      </c>
      <c r="K258" s="24"/>
      <c r="L258" s="20" t="str">
        <f t="shared" ref="L258:L321" si="8">IF(A258="","",IF(COUNTIF($A$2:$A$401,A258)&gt;1,"중복",""))</f>
        <v/>
      </c>
      <c r="M258" s="21">
        <f t="shared" ref="M258:M321" si="9">IF(D258="","",LEN(D258))</f>
        <v>7</v>
      </c>
    </row>
    <row r="259" spans="1:13" ht="15" customHeight="1">
      <c r="A259" s="17" t="s">
        <v>2778</v>
      </c>
      <c r="B259" s="17">
        <v>6</v>
      </c>
      <c r="C259" s="17" t="s">
        <v>217</v>
      </c>
      <c r="D259" s="17" t="s">
        <v>2779</v>
      </c>
      <c r="E259" s="18" t="s">
        <v>2780</v>
      </c>
      <c r="F259" s="17" t="s">
        <v>2781</v>
      </c>
      <c r="G259" s="24"/>
      <c r="H259" s="24"/>
      <c r="I259" s="19" t="s">
        <v>1783</v>
      </c>
      <c r="J259" s="19" t="s">
        <v>95</v>
      </c>
      <c r="K259" s="24"/>
      <c r="L259" s="20" t="str">
        <f t="shared" si="8"/>
        <v/>
      </c>
      <c r="M259" s="21">
        <f t="shared" si="9"/>
        <v>6</v>
      </c>
    </row>
    <row r="260" spans="1:13" ht="15" customHeight="1">
      <c r="A260" s="17" t="s">
        <v>2782</v>
      </c>
      <c r="B260" s="17">
        <v>6</v>
      </c>
      <c r="C260" s="17" t="s">
        <v>217</v>
      </c>
      <c r="D260" s="17" t="s">
        <v>2783</v>
      </c>
      <c r="E260" s="18" t="s">
        <v>2784</v>
      </c>
      <c r="F260" s="17" t="s">
        <v>2785</v>
      </c>
      <c r="G260" s="24"/>
      <c r="H260" s="24"/>
      <c r="I260" s="19" t="s">
        <v>1783</v>
      </c>
      <c r="J260" s="19" t="s">
        <v>95</v>
      </c>
      <c r="K260" s="24"/>
      <c r="L260" s="20" t="str">
        <f t="shared" si="8"/>
        <v/>
      </c>
      <c r="M260" s="21">
        <f t="shared" si="9"/>
        <v>5</v>
      </c>
    </row>
    <row r="261" spans="1:13" ht="15" customHeight="1">
      <c r="A261" s="17" t="s">
        <v>2786</v>
      </c>
      <c r="B261" s="17">
        <v>6</v>
      </c>
      <c r="C261" s="17" t="s">
        <v>217</v>
      </c>
      <c r="D261" s="17" t="s">
        <v>2787</v>
      </c>
      <c r="E261" s="18" t="s">
        <v>2788</v>
      </c>
      <c r="F261" s="17" t="s">
        <v>2789</v>
      </c>
      <c r="G261" s="24"/>
      <c r="H261" s="24"/>
      <c r="I261" s="19" t="s">
        <v>1783</v>
      </c>
      <c r="J261" s="19" t="s">
        <v>95</v>
      </c>
      <c r="K261" s="24"/>
      <c r="L261" s="20" t="str">
        <f t="shared" si="8"/>
        <v/>
      </c>
      <c r="M261" s="21">
        <f t="shared" si="9"/>
        <v>7</v>
      </c>
    </row>
    <row r="262" spans="1:13" ht="15" customHeight="1">
      <c r="A262" s="17" t="s">
        <v>2790</v>
      </c>
      <c r="B262" s="17">
        <v>3</v>
      </c>
      <c r="C262" s="17" t="s">
        <v>224</v>
      </c>
      <c r="D262" s="17" t="s">
        <v>2791</v>
      </c>
      <c r="E262" s="18" t="s">
        <v>2792</v>
      </c>
      <c r="F262" s="17" t="s">
        <v>2793</v>
      </c>
      <c r="G262" s="24"/>
      <c r="H262" s="24"/>
      <c r="I262" s="19" t="s">
        <v>1783</v>
      </c>
      <c r="J262" s="19" t="s">
        <v>95</v>
      </c>
      <c r="K262" s="24"/>
      <c r="L262" s="20" t="str">
        <f t="shared" si="8"/>
        <v/>
      </c>
      <c r="M262" s="21">
        <f t="shared" si="9"/>
        <v>6</v>
      </c>
    </row>
    <row r="263" spans="1:13" ht="15" customHeight="1">
      <c r="A263" s="17" t="s">
        <v>2794</v>
      </c>
      <c r="B263" s="17">
        <v>3</v>
      </c>
      <c r="C263" s="17" t="s">
        <v>224</v>
      </c>
      <c r="D263" s="17" t="s">
        <v>2795</v>
      </c>
      <c r="E263" s="18" t="s">
        <v>2796</v>
      </c>
      <c r="F263" s="17" t="s">
        <v>2797</v>
      </c>
      <c r="G263" s="24"/>
      <c r="H263" s="24"/>
      <c r="I263" s="19" t="s">
        <v>1783</v>
      </c>
      <c r="J263" s="19" t="s">
        <v>95</v>
      </c>
      <c r="K263" s="24"/>
      <c r="L263" s="20" t="str">
        <f t="shared" si="8"/>
        <v/>
      </c>
      <c r="M263" s="21">
        <f t="shared" si="9"/>
        <v>7</v>
      </c>
    </row>
    <row r="264" spans="1:13" ht="15" customHeight="1">
      <c r="A264" s="17" t="s">
        <v>2798</v>
      </c>
      <c r="B264" s="17">
        <v>3</v>
      </c>
      <c r="C264" s="17" t="s">
        <v>224</v>
      </c>
      <c r="D264" s="17" t="s">
        <v>2799</v>
      </c>
      <c r="E264" s="18" t="s">
        <v>2800</v>
      </c>
      <c r="F264" s="17" t="s">
        <v>1362</v>
      </c>
      <c r="G264" s="24"/>
      <c r="H264" s="24"/>
      <c r="I264" s="19" t="s">
        <v>1783</v>
      </c>
      <c r="J264" s="19" t="s">
        <v>95</v>
      </c>
      <c r="K264" s="24"/>
      <c r="L264" s="20" t="str">
        <f t="shared" si="8"/>
        <v/>
      </c>
      <c r="M264" s="21">
        <f t="shared" si="9"/>
        <v>5</v>
      </c>
    </row>
    <row r="265" spans="1:13" ht="15" customHeight="1">
      <c r="A265" s="17" t="s">
        <v>2801</v>
      </c>
      <c r="B265" s="17">
        <v>3</v>
      </c>
      <c r="C265" s="17" t="s">
        <v>224</v>
      </c>
      <c r="D265" s="17" t="s">
        <v>2802</v>
      </c>
      <c r="E265" s="18" t="s">
        <v>2803</v>
      </c>
      <c r="F265" s="17" t="s">
        <v>2804</v>
      </c>
      <c r="G265" s="24"/>
      <c r="H265" s="24"/>
      <c r="I265" s="19" t="s">
        <v>1783</v>
      </c>
      <c r="J265" s="19" t="s">
        <v>95</v>
      </c>
      <c r="K265" s="24"/>
      <c r="L265" s="20" t="str">
        <f t="shared" si="8"/>
        <v/>
      </c>
      <c r="M265" s="21">
        <f t="shared" si="9"/>
        <v>8</v>
      </c>
    </row>
    <row r="266" spans="1:13" ht="15" customHeight="1">
      <c r="A266" s="17" t="s">
        <v>2805</v>
      </c>
      <c r="B266" s="17">
        <v>3</v>
      </c>
      <c r="C266" s="17" t="s">
        <v>224</v>
      </c>
      <c r="D266" s="17" t="s">
        <v>2806</v>
      </c>
      <c r="E266" s="18" t="s">
        <v>2807</v>
      </c>
      <c r="F266" s="17" t="s">
        <v>2808</v>
      </c>
      <c r="G266" s="24"/>
      <c r="H266" s="24"/>
      <c r="I266" s="19" t="s">
        <v>1783</v>
      </c>
      <c r="J266" s="19" t="s">
        <v>95</v>
      </c>
      <c r="K266" s="24"/>
      <c r="L266" s="20" t="str">
        <f t="shared" si="8"/>
        <v/>
      </c>
      <c r="M266" s="21">
        <f t="shared" si="9"/>
        <v>9</v>
      </c>
    </row>
    <row r="267" spans="1:13" ht="15" customHeight="1">
      <c r="A267" s="17" t="s">
        <v>2809</v>
      </c>
      <c r="B267" s="17">
        <v>4</v>
      </c>
      <c r="C267" s="17" t="s">
        <v>224</v>
      </c>
      <c r="D267" s="17" t="s">
        <v>2810</v>
      </c>
      <c r="E267" s="18" t="s">
        <v>2811</v>
      </c>
      <c r="F267" s="17" t="s">
        <v>2812</v>
      </c>
      <c r="G267" s="24"/>
      <c r="H267" s="24"/>
      <c r="I267" s="19" t="s">
        <v>1783</v>
      </c>
      <c r="J267" s="19" t="s">
        <v>95</v>
      </c>
      <c r="K267" s="24"/>
      <c r="L267" s="20" t="str">
        <f t="shared" si="8"/>
        <v/>
      </c>
      <c r="M267" s="21">
        <f t="shared" si="9"/>
        <v>9</v>
      </c>
    </row>
    <row r="268" spans="1:13" ht="15" customHeight="1">
      <c r="A268" s="17" t="s">
        <v>2813</v>
      </c>
      <c r="B268" s="17">
        <v>4</v>
      </c>
      <c r="C268" s="17" t="s">
        <v>224</v>
      </c>
      <c r="D268" s="17" t="s">
        <v>2814</v>
      </c>
      <c r="E268" s="18" t="s">
        <v>2815</v>
      </c>
      <c r="F268" s="17" t="s">
        <v>2816</v>
      </c>
      <c r="G268" s="24"/>
      <c r="H268" s="24"/>
      <c r="I268" s="19" t="s">
        <v>1783</v>
      </c>
      <c r="J268" s="19" t="s">
        <v>95</v>
      </c>
      <c r="K268" s="24"/>
      <c r="L268" s="20" t="str">
        <f t="shared" si="8"/>
        <v/>
      </c>
      <c r="M268" s="21">
        <f t="shared" si="9"/>
        <v>8</v>
      </c>
    </row>
    <row r="269" spans="1:13" ht="15" customHeight="1">
      <c r="A269" s="17" t="s">
        <v>2817</v>
      </c>
      <c r="B269" s="17">
        <v>4</v>
      </c>
      <c r="C269" s="17" t="s">
        <v>224</v>
      </c>
      <c r="D269" s="17" t="s">
        <v>2818</v>
      </c>
      <c r="E269" s="18" t="s">
        <v>2819</v>
      </c>
      <c r="F269" s="17" t="s">
        <v>2820</v>
      </c>
      <c r="G269" s="24"/>
      <c r="H269" s="24"/>
      <c r="I269" s="19" t="s">
        <v>1783</v>
      </c>
      <c r="J269" s="19" t="s">
        <v>95</v>
      </c>
      <c r="K269" s="24"/>
      <c r="L269" s="20" t="str">
        <f t="shared" si="8"/>
        <v/>
      </c>
      <c r="M269" s="21">
        <f t="shared" si="9"/>
        <v>6</v>
      </c>
    </row>
    <row r="270" spans="1:13" ht="15" customHeight="1">
      <c r="A270" s="17" t="s">
        <v>2821</v>
      </c>
      <c r="B270" s="17">
        <v>4</v>
      </c>
      <c r="C270" s="17" t="s">
        <v>224</v>
      </c>
      <c r="D270" s="17" t="s">
        <v>2822</v>
      </c>
      <c r="E270" s="18" t="s">
        <v>2823</v>
      </c>
      <c r="F270" s="17" t="s">
        <v>1380</v>
      </c>
      <c r="G270" s="24"/>
      <c r="H270" s="24"/>
      <c r="I270" s="19" t="s">
        <v>1783</v>
      </c>
      <c r="J270" s="19" t="s">
        <v>95</v>
      </c>
      <c r="K270" s="24"/>
      <c r="L270" s="20" t="str">
        <f t="shared" si="8"/>
        <v/>
      </c>
      <c r="M270" s="21">
        <f t="shared" si="9"/>
        <v>4</v>
      </c>
    </row>
    <row r="271" spans="1:13" ht="15" customHeight="1">
      <c r="A271" s="17" t="s">
        <v>2824</v>
      </c>
      <c r="B271" s="17">
        <v>4</v>
      </c>
      <c r="C271" s="17" t="s">
        <v>224</v>
      </c>
      <c r="D271" s="17" t="s">
        <v>2825</v>
      </c>
      <c r="E271" s="18" t="s">
        <v>2826</v>
      </c>
      <c r="F271" s="17" t="s">
        <v>2827</v>
      </c>
      <c r="G271" s="24"/>
      <c r="H271" s="24"/>
      <c r="I271" s="19" t="s">
        <v>1783</v>
      </c>
      <c r="J271" s="19" t="s">
        <v>95</v>
      </c>
      <c r="K271" s="24"/>
      <c r="L271" s="20" t="str">
        <f t="shared" si="8"/>
        <v/>
      </c>
      <c r="M271" s="21">
        <f t="shared" si="9"/>
        <v>7</v>
      </c>
    </row>
    <row r="272" spans="1:13" ht="15" customHeight="1">
      <c r="A272" s="17" t="s">
        <v>2828</v>
      </c>
      <c r="B272" s="17">
        <v>5</v>
      </c>
      <c r="C272" s="17" t="s">
        <v>224</v>
      </c>
      <c r="D272" s="17" t="s">
        <v>2829</v>
      </c>
      <c r="E272" s="18" t="s">
        <v>2830</v>
      </c>
      <c r="F272" s="17" t="s">
        <v>2831</v>
      </c>
      <c r="G272" s="24"/>
      <c r="H272" s="24"/>
      <c r="I272" s="19" t="s">
        <v>1783</v>
      </c>
      <c r="J272" s="19" t="s">
        <v>95</v>
      </c>
      <c r="K272" s="24"/>
      <c r="L272" s="20" t="str">
        <f t="shared" si="8"/>
        <v/>
      </c>
      <c r="M272" s="21">
        <f t="shared" si="9"/>
        <v>8</v>
      </c>
    </row>
    <row r="273" spans="1:13" ht="15" customHeight="1">
      <c r="A273" s="17" t="s">
        <v>2832</v>
      </c>
      <c r="B273" s="17">
        <v>5</v>
      </c>
      <c r="C273" s="17" t="s">
        <v>224</v>
      </c>
      <c r="D273" s="17" t="s">
        <v>2833</v>
      </c>
      <c r="E273" s="18" t="s">
        <v>2834</v>
      </c>
      <c r="F273" s="17" t="s">
        <v>2835</v>
      </c>
      <c r="G273" s="24"/>
      <c r="H273" s="24"/>
      <c r="I273" s="19" t="s">
        <v>1783</v>
      </c>
      <c r="J273" s="19" t="s">
        <v>95</v>
      </c>
      <c r="K273" s="24"/>
      <c r="L273" s="20" t="str">
        <f t="shared" si="8"/>
        <v/>
      </c>
      <c r="M273" s="21">
        <f t="shared" si="9"/>
        <v>6</v>
      </c>
    </row>
    <row r="274" spans="1:13" ht="15" customHeight="1">
      <c r="A274" s="17" t="s">
        <v>2836</v>
      </c>
      <c r="B274" s="17">
        <v>5</v>
      </c>
      <c r="C274" s="17" t="s">
        <v>224</v>
      </c>
      <c r="D274" s="17" t="s">
        <v>2837</v>
      </c>
      <c r="E274" s="18" t="s">
        <v>2838</v>
      </c>
      <c r="F274" s="17" t="s">
        <v>2839</v>
      </c>
      <c r="G274" s="24"/>
      <c r="H274" s="24"/>
      <c r="I274" s="19" t="s">
        <v>1783</v>
      </c>
      <c r="J274" s="19" t="s">
        <v>95</v>
      </c>
      <c r="K274" s="24"/>
      <c r="L274" s="20" t="str">
        <f t="shared" si="8"/>
        <v/>
      </c>
      <c r="M274" s="21">
        <f t="shared" si="9"/>
        <v>5</v>
      </c>
    </row>
    <row r="275" spans="1:13" ht="15" customHeight="1">
      <c r="A275" s="17" t="s">
        <v>2840</v>
      </c>
      <c r="B275" s="17">
        <v>5</v>
      </c>
      <c r="C275" s="17" t="s">
        <v>224</v>
      </c>
      <c r="D275" s="17" t="s">
        <v>2841</v>
      </c>
      <c r="E275" s="18" t="s">
        <v>2842</v>
      </c>
      <c r="F275" s="17" t="s">
        <v>2843</v>
      </c>
      <c r="G275" s="24"/>
      <c r="H275" s="24"/>
      <c r="I275" s="19" t="s">
        <v>1783</v>
      </c>
      <c r="J275" s="19" t="s">
        <v>95</v>
      </c>
      <c r="K275" s="24"/>
      <c r="L275" s="20" t="str">
        <f t="shared" si="8"/>
        <v/>
      </c>
      <c r="M275" s="21">
        <f t="shared" si="9"/>
        <v>8</v>
      </c>
    </row>
    <row r="276" spans="1:13" ht="15" customHeight="1">
      <c r="A276" s="17" t="s">
        <v>2844</v>
      </c>
      <c r="B276" s="17">
        <v>5</v>
      </c>
      <c r="C276" s="17" t="s">
        <v>224</v>
      </c>
      <c r="D276" s="17" t="s">
        <v>2845</v>
      </c>
      <c r="E276" s="18" t="s">
        <v>2846</v>
      </c>
      <c r="F276" s="17" t="s">
        <v>2847</v>
      </c>
      <c r="G276" s="24"/>
      <c r="H276" s="24"/>
      <c r="I276" s="19" t="s">
        <v>1783</v>
      </c>
      <c r="J276" s="19" t="s">
        <v>95</v>
      </c>
      <c r="K276" s="24"/>
      <c r="L276" s="20" t="str">
        <f t="shared" si="8"/>
        <v/>
      </c>
      <c r="M276" s="21">
        <f t="shared" si="9"/>
        <v>7</v>
      </c>
    </row>
    <row r="277" spans="1:13" ht="15" customHeight="1">
      <c r="A277" s="17" t="s">
        <v>2848</v>
      </c>
      <c r="B277" s="17">
        <v>6</v>
      </c>
      <c r="C277" s="17" t="s">
        <v>224</v>
      </c>
      <c r="D277" s="17" t="s">
        <v>2849</v>
      </c>
      <c r="E277" s="18" t="s">
        <v>2850</v>
      </c>
      <c r="F277" s="17" t="s">
        <v>2851</v>
      </c>
      <c r="G277" s="24"/>
      <c r="H277" s="24"/>
      <c r="I277" s="19" t="s">
        <v>1783</v>
      </c>
      <c r="J277" s="19" t="s">
        <v>95</v>
      </c>
      <c r="K277" s="24"/>
      <c r="L277" s="20" t="str">
        <f t="shared" si="8"/>
        <v/>
      </c>
      <c r="M277" s="21">
        <f t="shared" si="9"/>
        <v>7</v>
      </c>
    </row>
    <row r="278" spans="1:13" ht="15" customHeight="1">
      <c r="A278" s="17" t="s">
        <v>2852</v>
      </c>
      <c r="B278" s="17">
        <v>6</v>
      </c>
      <c r="C278" s="17" t="s">
        <v>224</v>
      </c>
      <c r="D278" s="17" t="s">
        <v>2853</v>
      </c>
      <c r="E278" s="18" t="s">
        <v>2854</v>
      </c>
      <c r="F278" s="17" t="s">
        <v>2855</v>
      </c>
      <c r="G278" s="24"/>
      <c r="H278" s="24"/>
      <c r="I278" s="19" t="s">
        <v>1783</v>
      </c>
      <c r="J278" s="19" t="s">
        <v>95</v>
      </c>
      <c r="K278" s="24"/>
      <c r="L278" s="20" t="str">
        <f t="shared" si="8"/>
        <v/>
      </c>
      <c r="M278" s="21">
        <f t="shared" si="9"/>
        <v>6</v>
      </c>
    </row>
    <row r="279" spans="1:13" ht="15" customHeight="1">
      <c r="A279" s="17" t="s">
        <v>2856</v>
      </c>
      <c r="B279" s="17">
        <v>6</v>
      </c>
      <c r="C279" s="17" t="s">
        <v>224</v>
      </c>
      <c r="D279" s="17" t="s">
        <v>2857</v>
      </c>
      <c r="E279" s="18" t="s">
        <v>2858</v>
      </c>
      <c r="F279" s="17" t="s">
        <v>2859</v>
      </c>
      <c r="G279" s="24"/>
      <c r="H279" s="24"/>
      <c r="I279" s="19" t="s">
        <v>1783</v>
      </c>
      <c r="J279" s="19" t="s">
        <v>95</v>
      </c>
      <c r="K279" s="24"/>
      <c r="L279" s="20" t="str">
        <f t="shared" si="8"/>
        <v/>
      </c>
      <c r="M279" s="21">
        <f t="shared" si="9"/>
        <v>11</v>
      </c>
    </row>
    <row r="280" spans="1:13" ht="15" customHeight="1">
      <c r="A280" s="17" t="s">
        <v>2860</v>
      </c>
      <c r="B280" s="17">
        <v>6</v>
      </c>
      <c r="C280" s="17" t="s">
        <v>224</v>
      </c>
      <c r="D280" s="17" t="s">
        <v>2861</v>
      </c>
      <c r="E280" s="18" t="s">
        <v>2862</v>
      </c>
      <c r="F280" s="17" t="s">
        <v>2863</v>
      </c>
      <c r="G280" s="24"/>
      <c r="H280" s="24"/>
      <c r="I280" s="19" t="s">
        <v>1783</v>
      </c>
      <c r="J280" s="19" t="s">
        <v>95</v>
      </c>
      <c r="K280" s="24"/>
      <c r="L280" s="20" t="str">
        <f t="shared" si="8"/>
        <v/>
      </c>
      <c r="M280" s="21">
        <f t="shared" si="9"/>
        <v>8</v>
      </c>
    </row>
    <row r="281" spans="1:13" ht="15" customHeight="1">
      <c r="A281" s="17" t="s">
        <v>2864</v>
      </c>
      <c r="B281" s="17">
        <v>6</v>
      </c>
      <c r="C281" s="17" t="s">
        <v>224</v>
      </c>
      <c r="D281" s="17" t="s">
        <v>2865</v>
      </c>
      <c r="E281" s="18" t="s">
        <v>2866</v>
      </c>
      <c r="F281" s="17" t="s">
        <v>1413</v>
      </c>
      <c r="G281" s="24"/>
      <c r="H281" s="24"/>
      <c r="I281" s="19" t="s">
        <v>1783</v>
      </c>
      <c r="J281" s="19" t="s">
        <v>95</v>
      </c>
      <c r="K281" s="24"/>
      <c r="L281" s="20" t="str">
        <f t="shared" si="8"/>
        <v/>
      </c>
      <c r="M281" s="21">
        <f t="shared" si="9"/>
        <v>8</v>
      </c>
    </row>
    <row r="282" spans="1:13" ht="15" customHeight="1">
      <c r="A282" s="17" t="s">
        <v>2867</v>
      </c>
      <c r="B282" s="17">
        <v>3</v>
      </c>
      <c r="C282" s="17" t="s">
        <v>237</v>
      </c>
      <c r="D282" s="17" t="s">
        <v>2868</v>
      </c>
      <c r="E282" s="18" t="s">
        <v>2869</v>
      </c>
      <c r="F282" s="17" t="s">
        <v>1416</v>
      </c>
      <c r="G282" s="24"/>
      <c r="H282" s="24"/>
      <c r="I282" s="19" t="s">
        <v>1783</v>
      </c>
      <c r="J282" s="19" t="s">
        <v>95</v>
      </c>
      <c r="K282" s="24"/>
      <c r="L282" s="20" t="str">
        <f t="shared" si="8"/>
        <v/>
      </c>
      <c r="M282" s="21">
        <f t="shared" si="9"/>
        <v>3</v>
      </c>
    </row>
    <row r="283" spans="1:13" ht="15" customHeight="1">
      <c r="A283" s="17" t="s">
        <v>2870</v>
      </c>
      <c r="B283" s="17">
        <v>3</v>
      </c>
      <c r="C283" s="17" t="s">
        <v>237</v>
      </c>
      <c r="D283" s="17" t="s">
        <v>2871</v>
      </c>
      <c r="E283" s="18" t="s">
        <v>2872</v>
      </c>
      <c r="F283" s="17" t="s">
        <v>2873</v>
      </c>
      <c r="G283" s="24"/>
      <c r="H283" s="24"/>
      <c r="I283" s="19" t="s">
        <v>1783</v>
      </c>
      <c r="J283" s="19" t="s">
        <v>95</v>
      </c>
      <c r="K283" s="24"/>
      <c r="L283" s="20" t="str">
        <f t="shared" si="8"/>
        <v/>
      </c>
      <c r="M283" s="21">
        <f t="shared" si="9"/>
        <v>3</v>
      </c>
    </row>
    <row r="284" spans="1:13" ht="15" customHeight="1">
      <c r="A284" s="17" t="s">
        <v>2874</v>
      </c>
      <c r="B284" s="17">
        <v>3</v>
      </c>
      <c r="C284" s="17" t="s">
        <v>237</v>
      </c>
      <c r="D284" s="17" t="s">
        <v>2875</v>
      </c>
      <c r="E284" s="18" t="s">
        <v>2876</v>
      </c>
      <c r="F284" s="17" t="s">
        <v>2877</v>
      </c>
      <c r="G284" s="24"/>
      <c r="H284" s="24"/>
      <c r="I284" s="19" t="s">
        <v>1783</v>
      </c>
      <c r="J284" s="19" t="s">
        <v>95</v>
      </c>
      <c r="K284" s="24"/>
      <c r="L284" s="20" t="str">
        <f t="shared" si="8"/>
        <v/>
      </c>
      <c r="M284" s="21">
        <f t="shared" si="9"/>
        <v>4</v>
      </c>
    </row>
    <row r="285" spans="1:13" ht="15" customHeight="1">
      <c r="A285" s="17" t="s">
        <v>2878</v>
      </c>
      <c r="B285" s="17">
        <v>3</v>
      </c>
      <c r="C285" s="17" t="s">
        <v>237</v>
      </c>
      <c r="D285" s="17" t="s">
        <v>2879</v>
      </c>
      <c r="E285" s="18" t="s">
        <v>2880</v>
      </c>
      <c r="F285" s="17" t="s">
        <v>2881</v>
      </c>
      <c r="G285" s="24"/>
      <c r="H285" s="24"/>
      <c r="I285" s="19" t="s">
        <v>1783</v>
      </c>
      <c r="J285" s="19" t="s">
        <v>95</v>
      </c>
      <c r="K285" s="24"/>
      <c r="L285" s="20" t="str">
        <f t="shared" si="8"/>
        <v/>
      </c>
      <c r="M285" s="21">
        <f t="shared" si="9"/>
        <v>5</v>
      </c>
    </row>
    <row r="286" spans="1:13" ht="15" customHeight="1">
      <c r="A286" s="17" t="s">
        <v>2882</v>
      </c>
      <c r="B286" s="17">
        <v>3</v>
      </c>
      <c r="C286" s="17" t="s">
        <v>237</v>
      </c>
      <c r="D286" s="17" t="s">
        <v>2883</v>
      </c>
      <c r="E286" s="18" t="s">
        <v>2884</v>
      </c>
      <c r="F286" s="17" t="s">
        <v>2885</v>
      </c>
      <c r="G286" s="24"/>
      <c r="H286" s="24"/>
      <c r="I286" s="19" t="s">
        <v>1783</v>
      </c>
      <c r="J286" s="19" t="s">
        <v>95</v>
      </c>
      <c r="K286" s="24"/>
      <c r="L286" s="20" t="str">
        <f t="shared" si="8"/>
        <v/>
      </c>
      <c r="M286" s="21">
        <f t="shared" si="9"/>
        <v>4</v>
      </c>
    </row>
    <row r="287" spans="1:13" ht="15" customHeight="1">
      <c r="A287" s="17" t="s">
        <v>2886</v>
      </c>
      <c r="B287" s="17">
        <v>4</v>
      </c>
      <c r="C287" s="17" t="s">
        <v>237</v>
      </c>
      <c r="D287" s="17" t="s">
        <v>2887</v>
      </c>
      <c r="E287" s="18" t="s">
        <v>2888</v>
      </c>
      <c r="F287" s="17" t="s">
        <v>2889</v>
      </c>
      <c r="G287" s="24"/>
      <c r="H287" s="24"/>
      <c r="I287" s="19" t="s">
        <v>1783</v>
      </c>
      <c r="J287" s="19" t="s">
        <v>95</v>
      </c>
      <c r="K287" s="24"/>
      <c r="L287" s="20" t="str">
        <f t="shared" si="8"/>
        <v/>
      </c>
      <c r="M287" s="21">
        <f t="shared" si="9"/>
        <v>6</v>
      </c>
    </row>
    <row r="288" spans="1:13" ht="15" customHeight="1">
      <c r="A288" s="17" t="s">
        <v>2890</v>
      </c>
      <c r="B288" s="17">
        <v>4</v>
      </c>
      <c r="C288" s="17" t="s">
        <v>237</v>
      </c>
      <c r="D288" s="17" t="s">
        <v>2891</v>
      </c>
      <c r="E288" s="18" t="s">
        <v>2892</v>
      </c>
      <c r="F288" s="17" t="s">
        <v>2893</v>
      </c>
      <c r="G288" s="24"/>
      <c r="H288" s="24"/>
      <c r="I288" s="19" t="s">
        <v>1783</v>
      </c>
      <c r="J288" s="19" t="s">
        <v>95</v>
      </c>
      <c r="K288" s="24"/>
      <c r="L288" s="20" t="str">
        <f t="shared" si="8"/>
        <v/>
      </c>
      <c r="M288" s="21">
        <f t="shared" si="9"/>
        <v>8</v>
      </c>
    </row>
    <row r="289" spans="1:13" ht="15" customHeight="1">
      <c r="A289" s="17" t="s">
        <v>2894</v>
      </c>
      <c r="B289" s="17">
        <v>4</v>
      </c>
      <c r="C289" s="17" t="s">
        <v>237</v>
      </c>
      <c r="D289" s="17" t="s">
        <v>2895</v>
      </c>
      <c r="E289" s="18" t="s">
        <v>2607</v>
      </c>
      <c r="F289" s="17" t="s">
        <v>2896</v>
      </c>
      <c r="G289" s="24"/>
      <c r="H289" s="24"/>
      <c r="I289" s="19" t="s">
        <v>1783</v>
      </c>
      <c r="J289" s="19" t="s">
        <v>95</v>
      </c>
      <c r="K289" s="24"/>
      <c r="L289" s="20" t="str">
        <f t="shared" si="8"/>
        <v/>
      </c>
      <c r="M289" s="21">
        <f t="shared" si="9"/>
        <v>4</v>
      </c>
    </row>
    <row r="290" spans="1:13" ht="15" customHeight="1">
      <c r="A290" s="17" t="s">
        <v>2897</v>
      </c>
      <c r="B290" s="17">
        <v>4</v>
      </c>
      <c r="C290" s="17" t="s">
        <v>237</v>
      </c>
      <c r="D290" s="17" t="s">
        <v>2898</v>
      </c>
      <c r="E290" s="18" t="s">
        <v>2899</v>
      </c>
      <c r="F290" s="17" t="s">
        <v>2900</v>
      </c>
      <c r="G290" s="24"/>
      <c r="H290" s="24"/>
      <c r="I290" s="19" t="s">
        <v>1783</v>
      </c>
      <c r="J290" s="19" t="s">
        <v>95</v>
      </c>
      <c r="K290" s="24"/>
      <c r="L290" s="20" t="str">
        <f t="shared" si="8"/>
        <v/>
      </c>
      <c r="M290" s="21">
        <f t="shared" si="9"/>
        <v>5</v>
      </c>
    </row>
    <row r="291" spans="1:13" ht="15" customHeight="1">
      <c r="A291" s="17" t="s">
        <v>2901</v>
      </c>
      <c r="B291" s="17">
        <v>4</v>
      </c>
      <c r="C291" s="17" t="s">
        <v>237</v>
      </c>
      <c r="D291" s="17" t="s">
        <v>2902</v>
      </c>
      <c r="E291" s="18" t="s">
        <v>2903</v>
      </c>
      <c r="F291" s="17" t="s">
        <v>2904</v>
      </c>
      <c r="G291" s="24"/>
      <c r="H291" s="24"/>
      <c r="I291" s="19" t="s">
        <v>1783</v>
      </c>
      <c r="J291" s="19" t="s">
        <v>95</v>
      </c>
      <c r="K291" s="24"/>
      <c r="L291" s="20" t="str">
        <f t="shared" si="8"/>
        <v/>
      </c>
      <c r="M291" s="21">
        <f t="shared" si="9"/>
        <v>10</v>
      </c>
    </row>
    <row r="292" spans="1:13" ht="15" customHeight="1">
      <c r="A292" s="17" t="s">
        <v>2905</v>
      </c>
      <c r="B292" s="17">
        <v>5</v>
      </c>
      <c r="C292" s="17" t="s">
        <v>237</v>
      </c>
      <c r="D292" s="17" t="s">
        <v>2906</v>
      </c>
      <c r="E292" s="18" t="s">
        <v>2907</v>
      </c>
      <c r="F292" s="17" t="s">
        <v>2908</v>
      </c>
      <c r="G292" s="24"/>
      <c r="H292" s="24"/>
      <c r="I292" s="19" t="s">
        <v>1783</v>
      </c>
      <c r="J292" s="19" t="s">
        <v>95</v>
      </c>
      <c r="K292" s="24"/>
      <c r="L292" s="20" t="str">
        <f t="shared" si="8"/>
        <v/>
      </c>
      <c r="M292" s="21">
        <f t="shared" si="9"/>
        <v>7</v>
      </c>
    </row>
    <row r="293" spans="1:13" ht="15" customHeight="1">
      <c r="A293" s="17" t="s">
        <v>2909</v>
      </c>
      <c r="B293" s="17">
        <v>5</v>
      </c>
      <c r="C293" s="17" t="s">
        <v>237</v>
      </c>
      <c r="D293" s="17" t="s">
        <v>2910</v>
      </c>
      <c r="E293" s="18" t="s">
        <v>2911</v>
      </c>
      <c r="F293" s="17" t="s">
        <v>2912</v>
      </c>
      <c r="G293" s="24"/>
      <c r="H293" s="24"/>
      <c r="I293" s="19" t="s">
        <v>1783</v>
      </c>
      <c r="J293" s="19" t="s">
        <v>95</v>
      </c>
      <c r="K293" s="24"/>
      <c r="L293" s="20" t="str">
        <f t="shared" si="8"/>
        <v/>
      </c>
      <c r="M293" s="21">
        <f t="shared" si="9"/>
        <v>9</v>
      </c>
    </row>
    <row r="294" spans="1:13" ht="15" customHeight="1">
      <c r="A294" s="17" t="s">
        <v>2913</v>
      </c>
      <c r="B294" s="17">
        <v>5</v>
      </c>
      <c r="C294" s="17" t="s">
        <v>237</v>
      </c>
      <c r="D294" s="17" t="s">
        <v>2914</v>
      </c>
      <c r="E294" s="18" t="s">
        <v>2915</v>
      </c>
      <c r="F294" s="17" t="s">
        <v>2916</v>
      </c>
      <c r="G294" s="24"/>
      <c r="H294" s="24"/>
      <c r="I294" s="19" t="s">
        <v>1783</v>
      </c>
      <c r="J294" s="19" t="s">
        <v>95</v>
      </c>
      <c r="K294" s="24"/>
      <c r="L294" s="20" t="str">
        <f t="shared" si="8"/>
        <v/>
      </c>
      <c r="M294" s="21">
        <f t="shared" si="9"/>
        <v>7</v>
      </c>
    </row>
    <row r="295" spans="1:13" ht="15" customHeight="1">
      <c r="A295" s="17" t="s">
        <v>2917</v>
      </c>
      <c r="B295" s="17">
        <v>5</v>
      </c>
      <c r="C295" s="17" t="s">
        <v>237</v>
      </c>
      <c r="D295" s="17" t="s">
        <v>2918</v>
      </c>
      <c r="E295" s="18" t="s">
        <v>2919</v>
      </c>
      <c r="F295" s="17" t="s">
        <v>2920</v>
      </c>
      <c r="G295" s="24"/>
      <c r="H295" s="24"/>
      <c r="I295" s="19" t="s">
        <v>1783</v>
      </c>
      <c r="J295" s="19" t="s">
        <v>95</v>
      </c>
      <c r="K295" s="24"/>
      <c r="L295" s="20" t="str">
        <f t="shared" si="8"/>
        <v/>
      </c>
      <c r="M295" s="21">
        <f t="shared" si="9"/>
        <v>6</v>
      </c>
    </row>
    <row r="296" spans="1:13" ht="15" customHeight="1">
      <c r="A296" s="17" t="s">
        <v>2921</v>
      </c>
      <c r="B296" s="17">
        <v>5</v>
      </c>
      <c r="C296" s="17" t="s">
        <v>237</v>
      </c>
      <c r="D296" s="17" t="s">
        <v>2922</v>
      </c>
      <c r="E296" s="18" t="s">
        <v>2923</v>
      </c>
      <c r="F296" s="17" t="s">
        <v>2924</v>
      </c>
      <c r="G296" s="24"/>
      <c r="H296" s="24"/>
      <c r="I296" s="19" t="s">
        <v>1783</v>
      </c>
      <c r="J296" s="19" t="s">
        <v>95</v>
      </c>
      <c r="K296" s="24"/>
      <c r="L296" s="20" t="str">
        <f t="shared" si="8"/>
        <v/>
      </c>
      <c r="M296" s="21">
        <f t="shared" si="9"/>
        <v>7</v>
      </c>
    </row>
    <row r="297" spans="1:13" ht="15" customHeight="1">
      <c r="A297" s="17" t="s">
        <v>2925</v>
      </c>
      <c r="B297" s="17">
        <v>6</v>
      </c>
      <c r="C297" s="17" t="s">
        <v>237</v>
      </c>
      <c r="D297" s="17" t="s">
        <v>2926</v>
      </c>
      <c r="E297" s="18" t="s">
        <v>2927</v>
      </c>
      <c r="F297" s="17" t="s">
        <v>2928</v>
      </c>
      <c r="G297" s="24"/>
      <c r="H297" s="24"/>
      <c r="I297" s="19" t="s">
        <v>1783</v>
      </c>
      <c r="J297" s="19" t="s">
        <v>95</v>
      </c>
      <c r="K297" s="24"/>
      <c r="L297" s="20" t="str">
        <f t="shared" si="8"/>
        <v/>
      </c>
      <c r="M297" s="21">
        <f t="shared" si="9"/>
        <v>7</v>
      </c>
    </row>
    <row r="298" spans="1:13" ht="15" customHeight="1">
      <c r="A298" s="17" t="s">
        <v>2929</v>
      </c>
      <c r="B298" s="17">
        <v>6</v>
      </c>
      <c r="C298" s="17" t="s">
        <v>237</v>
      </c>
      <c r="D298" s="17" t="s">
        <v>2930</v>
      </c>
      <c r="E298" s="18" t="s">
        <v>2931</v>
      </c>
      <c r="F298" s="17" t="s">
        <v>2932</v>
      </c>
      <c r="G298" s="24"/>
      <c r="H298" s="24"/>
      <c r="I298" s="19" t="s">
        <v>1783</v>
      </c>
      <c r="J298" s="19" t="s">
        <v>95</v>
      </c>
      <c r="K298" s="24"/>
      <c r="L298" s="20" t="str">
        <f t="shared" si="8"/>
        <v/>
      </c>
      <c r="M298" s="21">
        <f t="shared" si="9"/>
        <v>14</v>
      </c>
    </row>
    <row r="299" spans="1:13" ht="15" customHeight="1">
      <c r="A299" s="17" t="s">
        <v>2933</v>
      </c>
      <c r="B299" s="17">
        <v>6</v>
      </c>
      <c r="C299" s="17" t="s">
        <v>237</v>
      </c>
      <c r="D299" s="17" t="s">
        <v>2934</v>
      </c>
      <c r="E299" s="18" t="s">
        <v>2935</v>
      </c>
      <c r="F299" s="17" t="s">
        <v>2936</v>
      </c>
      <c r="G299" s="24"/>
      <c r="H299" s="24"/>
      <c r="I299" s="19" t="s">
        <v>1783</v>
      </c>
      <c r="J299" s="19" t="s">
        <v>95</v>
      </c>
      <c r="K299" s="24"/>
      <c r="L299" s="20" t="str">
        <f t="shared" si="8"/>
        <v/>
      </c>
      <c r="M299" s="21">
        <f t="shared" si="9"/>
        <v>7</v>
      </c>
    </row>
    <row r="300" spans="1:13" ht="15" customHeight="1">
      <c r="A300" s="17" t="s">
        <v>2937</v>
      </c>
      <c r="B300" s="17">
        <v>6</v>
      </c>
      <c r="C300" s="17" t="s">
        <v>237</v>
      </c>
      <c r="D300" s="17" t="s">
        <v>2938</v>
      </c>
      <c r="E300" s="18" t="s">
        <v>2939</v>
      </c>
      <c r="F300" s="17" t="s">
        <v>2940</v>
      </c>
      <c r="G300" s="24"/>
      <c r="H300" s="24"/>
      <c r="I300" s="19" t="s">
        <v>1783</v>
      </c>
      <c r="J300" s="19" t="s">
        <v>95</v>
      </c>
      <c r="K300" s="24"/>
      <c r="L300" s="20" t="str">
        <f t="shared" si="8"/>
        <v/>
      </c>
      <c r="M300" s="21">
        <f t="shared" si="9"/>
        <v>10</v>
      </c>
    </row>
    <row r="301" spans="1:13" ht="15" customHeight="1">
      <c r="A301" s="17" t="s">
        <v>2941</v>
      </c>
      <c r="B301" s="17">
        <v>6</v>
      </c>
      <c r="C301" s="17" t="s">
        <v>237</v>
      </c>
      <c r="D301" s="17" t="s">
        <v>2942</v>
      </c>
      <c r="E301" s="18" t="s">
        <v>2943</v>
      </c>
      <c r="F301" s="17" t="s">
        <v>1473</v>
      </c>
      <c r="G301" s="24"/>
      <c r="H301" s="24"/>
      <c r="I301" s="19" t="s">
        <v>1783</v>
      </c>
      <c r="J301" s="19" t="s">
        <v>95</v>
      </c>
      <c r="K301" s="24"/>
      <c r="L301" s="20" t="str">
        <f t="shared" si="8"/>
        <v/>
      </c>
      <c r="M301" s="21">
        <f t="shared" si="9"/>
        <v>7</v>
      </c>
    </row>
    <row r="302" spans="1:13" ht="15" customHeight="1">
      <c r="A302" s="17" t="s">
        <v>2944</v>
      </c>
      <c r="B302" s="17">
        <v>3</v>
      </c>
      <c r="C302" s="17" t="s">
        <v>244</v>
      </c>
      <c r="D302" s="17" t="s">
        <v>2945</v>
      </c>
      <c r="E302" s="18" t="s">
        <v>2946</v>
      </c>
      <c r="F302" s="17" t="s">
        <v>1476</v>
      </c>
      <c r="G302" s="24"/>
      <c r="H302" s="24"/>
      <c r="I302" s="19" t="s">
        <v>1783</v>
      </c>
      <c r="J302" s="19" t="s">
        <v>95</v>
      </c>
      <c r="K302" s="24"/>
      <c r="L302" s="20" t="str">
        <f t="shared" si="8"/>
        <v/>
      </c>
      <c r="M302" s="21">
        <f t="shared" si="9"/>
        <v>4</v>
      </c>
    </row>
    <row r="303" spans="1:13" ht="15" customHeight="1">
      <c r="A303" s="17" t="s">
        <v>2947</v>
      </c>
      <c r="B303" s="17">
        <v>3</v>
      </c>
      <c r="C303" s="17" t="s">
        <v>244</v>
      </c>
      <c r="D303" s="17" t="s">
        <v>2948</v>
      </c>
      <c r="E303" s="18" t="s">
        <v>2949</v>
      </c>
      <c r="F303" s="17" t="s">
        <v>2950</v>
      </c>
      <c r="G303" s="24"/>
      <c r="H303" s="24"/>
      <c r="I303" s="19" t="s">
        <v>1783</v>
      </c>
      <c r="J303" s="19" t="s">
        <v>95</v>
      </c>
      <c r="K303" s="24"/>
      <c r="L303" s="20" t="str">
        <f t="shared" si="8"/>
        <v/>
      </c>
      <c r="M303" s="21">
        <f t="shared" si="9"/>
        <v>4</v>
      </c>
    </row>
    <row r="304" spans="1:13" ht="15" customHeight="1">
      <c r="A304" s="17" t="s">
        <v>2951</v>
      </c>
      <c r="B304" s="17">
        <v>3</v>
      </c>
      <c r="C304" s="17" t="s">
        <v>244</v>
      </c>
      <c r="D304" s="17" t="s">
        <v>2952</v>
      </c>
      <c r="E304" s="18" t="s">
        <v>2953</v>
      </c>
      <c r="F304" s="17" t="s">
        <v>2954</v>
      </c>
      <c r="G304" s="24"/>
      <c r="H304" s="24"/>
      <c r="I304" s="19" t="s">
        <v>1783</v>
      </c>
      <c r="J304" s="19" t="s">
        <v>95</v>
      </c>
      <c r="K304" s="24"/>
      <c r="L304" s="20" t="str">
        <f t="shared" si="8"/>
        <v/>
      </c>
      <c r="M304" s="21">
        <f t="shared" si="9"/>
        <v>5</v>
      </c>
    </row>
    <row r="305" spans="1:13" ht="15" customHeight="1">
      <c r="A305" s="17" t="s">
        <v>2955</v>
      </c>
      <c r="B305" s="17">
        <v>3</v>
      </c>
      <c r="C305" s="17" t="s">
        <v>244</v>
      </c>
      <c r="D305" s="17" t="s">
        <v>2956</v>
      </c>
      <c r="E305" s="18" t="s">
        <v>2957</v>
      </c>
      <c r="F305" s="17" t="s">
        <v>2958</v>
      </c>
      <c r="G305" s="24"/>
      <c r="H305" s="24"/>
      <c r="I305" s="19" t="s">
        <v>1783</v>
      </c>
      <c r="J305" s="19" t="s">
        <v>95</v>
      </c>
      <c r="K305" s="24"/>
      <c r="L305" s="20" t="str">
        <f t="shared" si="8"/>
        <v/>
      </c>
      <c r="M305" s="21">
        <f t="shared" si="9"/>
        <v>10</v>
      </c>
    </row>
    <row r="306" spans="1:13" ht="15" customHeight="1">
      <c r="A306" s="17" t="s">
        <v>2959</v>
      </c>
      <c r="B306" s="17">
        <v>3</v>
      </c>
      <c r="C306" s="17" t="s">
        <v>244</v>
      </c>
      <c r="D306" s="17" t="s">
        <v>2960</v>
      </c>
      <c r="E306" s="18" t="s">
        <v>2961</v>
      </c>
      <c r="F306" s="17" t="s">
        <v>2962</v>
      </c>
      <c r="G306" s="24"/>
      <c r="H306" s="24"/>
      <c r="I306" s="19" t="s">
        <v>1783</v>
      </c>
      <c r="J306" s="19" t="s">
        <v>95</v>
      </c>
      <c r="K306" s="24"/>
      <c r="L306" s="20" t="str">
        <f t="shared" si="8"/>
        <v/>
      </c>
      <c r="M306" s="21">
        <f t="shared" si="9"/>
        <v>3</v>
      </c>
    </row>
    <row r="307" spans="1:13" ht="15" customHeight="1">
      <c r="A307" s="17" t="s">
        <v>2963</v>
      </c>
      <c r="B307" s="17">
        <v>4</v>
      </c>
      <c r="C307" s="17" t="s">
        <v>244</v>
      </c>
      <c r="D307" s="17" t="s">
        <v>2964</v>
      </c>
      <c r="E307" s="18" t="s">
        <v>2965</v>
      </c>
      <c r="F307" s="17" t="s">
        <v>2966</v>
      </c>
      <c r="G307" s="24"/>
      <c r="H307" s="24"/>
      <c r="I307" s="19" t="s">
        <v>1783</v>
      </c>
      <c r="J307" s="19" t="s">
        <v>95</v>
      </c>
      <c r="K307" s="24"/>
      <c r="L307" s="20" t="str">
        <f t="shared" si="8"/>
        <v/>
      </c>
      <c r="M307" s="21">
        <f t="shared" si="9"/>
        <v>8</v>
      </c>
    </row>
    <row r="308" spans="1:13" ht="15" customHeight="1">
      <c r="A308" s="17" t="s">
        <v>2967</v>
      </c>
      <c r="B308" s="17">
        <v>4</v>
      </c>
      <c r="C308" s="17" t="s">
        <v>244</v>
      </c>
      <c r="D308" s="17" t="s">
        <v>2968</v>
      </c>
      <c r="E308" s="18" t="s">
        <v>2969</v>
      </c>
      <c r="F308" s="17" t="s">
        <v>2970</v>
      </c>
      <c r="G308" s="24"/>
      <c r="H308" s="24"/>
      <c r="I308" s="19" t="s">
        <v>1783</v>
      </c>
      <c r="J308" s="19" t="s">
        <v>95</v>
      </c>
      <c r="K308" s="24"/>
      <c r="L308" s="20" t="str">
        <f t="shared" si="8"/>
        <v/>
      </c>
      <c r="M308" s="21">
        <f t="shared" si="9"/>
        <v>6</v>
      </c>
    </row>
    <row r="309" spans="1:13" ht="15" customHeight="1">
      <c r="A309" s="17" t="s">
        <v>2971</v>
      </c>
      <c r="B309" s="17">
        <v>4</v>
      </c>
      <c r="C309" s="17" t="s">
        <v>244</v>
      </c>
      <c r="D309" s="17" t="s">
        <v>2972</v>
      </c>
      <c r="E309" s="18" t="s">
        <v>2973</v>
      </c>
      <c r="F309" s="17" t="s">
        <v>2974</v>
      </c>
      <c r="G309" s="24"/>
      <c r="H309" s="24"/>
      <c r="I309" s="19" t="s">
        <v>1783</v>
      </c>
      <c r="J309" s="19" t="s">
        <v>95</v>
      </c>
      <c r="K309" s="24"/>
      <c r="L309" s="20" t="str">
        <f t="shared" si="8"/>
        <v/>
      </c>
      <c r="M309" s="21">
        <f t="shared" si="9"/>
        <v>6</v>
      </c>
    </row>
    <row r="310" spans="1:13" ht="15" customHeight="1">
      <c r="A310" s="17" t="s">
        <v>2975</v>
      </c>
      <c r="B310" s="17">
        <v>4</v>
      </c>
      <c r="C310" s="17" t="s">
        <v>244</v>
      </c>
      <c r="D310" s="17" t="s">
        <v>2976</v>
      </c>
      <c r="E310" s="18" t="s">
        <v>2977</v>
      </c>
      <c r="F310" s="17" t="s">
        <v>2978</v>
      </c>
      <c r="G310" s="24"/>
      <c r="H310" s="24"/>
      <c r="I310" s="19" t="s">
        <v>1783</v>
      </c>
      <c r="J310" s="19" t="s">
        <v>95</v>
      </c>
      <c r="K310" s="24"/>
      <c r="L310" s="20" t="str">
        <f t="shared" si="8"/>
        <v/>
      </c>
      <c r="M310" s="21">
        <f t="shared" si="9"/>
        <v>4</v>
      </c>
    </row>
    <row r="311" spans="1:13" ht="15" customHeight="1">
      <c r="A311" s="17" t="s">
        <v>2979</v>
      </c>
      <c r="B311" s="17">
        <v>4</v>
      </c>
      <c r="C311" s="17" t="s">
        <v>244</v>
      </c>
      <c r="D311" s="17" t="s">
        <v>2980</v>
      </c>
      <c r="E311" s="18" t="s">
        <v>2981</v>
      </c>
      <c r="F311" s="17" t="s">
        <v>2982</v>
      </c>
      <c r="G311" s="24"/>
      <c r="H311" s="24"/>
      <c r="I311" s="19" t="s">
        <v>1783</v>
      </c>
      <c r="J311" s="19" t="s">
        <v>95</v>
      </c>
      <c r="K311" s="24"/>
      <c r="L311" s="20" t="str">
        <f t="shared" si="8"/>
        <v/>
      </c>
      <c r="M311" s="21">
        <f t="shared" si="9"/>
        <v>10</v>
      </c>
    </row>
    <row r="312" spans="1:13" ht="15" customHeight="1">
      <c r="A312" s="17" t="s">
        <v>2983</v>
      </c>
      <c r="B312" s="17">
        <v>5</v>
      </c>
      <c r="C312" s="17" t="s">
        <v>244</v>
      </c>
      <c r="D312" s="17" t="s">
        <v>2984</v>
      </c>
      <c r="E312" s="18" t="s">
        <v>2985</v>
      </c>
      <c r="F312" s="17" t="s">
        <v>2986</v>
      </c>
      <c r="G312" s="24"/>
      <c r="H312" s="24"/>
      <c r="I312" s="19" t="s">
        <v>1783</v>
      </c>
      <c r="J312" s="19" t="s">
        <v>95</v>
      </c>
      <c r="K312" s="24"/>
      <c r="L312" s="20" t="str">
        <f t="shared" si="8"/>
        <v/>
      </c>
      <c r="M312" s="21">
        <f t="shared" si="9"/>
        <v>6</v>
      </c>
    </row>
    <row r="313" spans="1:13" ht="15" customHeight="1">
      <c r="A313" s="17" t="s">
        <v>2987</v>
      </c>
      <c r="B313" s="17">
        <v>5</v>
      </c>
      <c r="C313" s="17" t="s">
        <v>244</v>
      </c>
      <c r="D313" s="17" t="s">
        <v>2988</v>
      </c>
      <c r="E313" s="18" t="s">
        <v>2989</v>
      </c>
      <c r="F313" s="17" t="s">
        <v>1509</v>
      </c>
      <c r="G313" s="24"/>
      <c r="H313" s="24"/>
      <c r="I313" s="19" t="s">
        <v>1783</v>
      </c>
      <c r="J313" s="19" t="s">
        <v>95</v>
      </c>
      <c r="K313" s="24"/>
      <c r="L313" s="20" t="str">
        <f t="shared" si="8"/>
        <v/>
      </c>
      <c r="M313" s="21">
        <f t="shared" si="9"/>
        <v>8</v>
      </c>
    </row>
    <row r="314" spans="1:13" ht="15" customHeight="1">
      <c r="A314" s="17" t="s">
        <v>2990</v>
      </c>
      <c r="B314" s="17">
        <v>5</v>
      </c>
      <c r="C314" s="17" t="s">
        <v>244</v>
      </c>
      <c r="D314" s="17" t="s">
        <v>2991</v>
      </c>
      <c r="E314" s="18" t="s">
        <v>2992</v>
      </c>
      <c r="F314" s="17" t="s">
        <v>2993</v>
      </c>
      <c r="G314" s="24"/>
      <c r="H314" s="24"/>
      <c r="I314" s="19" t="s">
        <v>1783</v>
      </c>
      <c r="J314" s="19" t="s">
        <v>95</v>
      </c>
      <c r="K314" s="24"/>
      <c r="L314" s="20" t="str">
        <f t="shared" si="8"/>
        <v/>
      </c>
      <c r="M314" s="21">
        <f t="shared" si="9"/>
        <v>12</v>
      </c>
    </row>
    <row r="315" spans="1:13" ht="15" customHeight="1">
      <c r="A315" s="17" t="s">
        <v>2994</v>
      </c>
      <c r="B315" s="17">
        <v>5</v>
      </c>
      <c r="C315" s="17" t="s">
        <v>244</v>
      </c>
      <c r="D315" s="17" t="s">
        <v>2995</v>
      </c>
      <c r="E315" s="18" t="s">
        <v>2996</v>
      </c>
      <c r="F315" s="17" t="s">
        <v>2997</v>
      </c>
      <c r="G315" s="24"/>
      <c r="H315" s="24"/>
      <c r="I315" s="19" t="s">
        <v>1783</v>
      </c>
      <c r="J315" s="19" t="s">
        <v>95</v>
      </c>
      <c r="K315" s="24"/>
      <c r="L315" s="20" t="str">
        <f t="shared" si="8"/>
        <v/>
      </c>
      <c r="M315" s="21">
        <f t="shared" si="9"/>
        <v>6</v>
      </c>
    </row>
    <row r="316" spans="1:13" ht="15" customHeight="1">
      <c r="A316" s="17" t="s">
        <v>2998</v>
      </c>
      <c r="B316" s="17">
        <v>5</v>
      </c>
      <c r="C316" s="17" t="s">
        <v>244</v>
      </c>
      <c r="D316" s="17" t="s">
        <v>2999</v>
      </c>
      <c r="E316" s="18" t="s">
        <v>3000</v>
      </c>
      <c r="F316" s="17" t="s">
        <v>3001</v>
      </c>
      <c r="G316" s="24"/>
      <c r="H316" s="24"/>
      <c r="I316" s="19" t="s">
        <v>1783</v>
      </c>
      <c r="J316" s="19" t="s">
        <v>95</v>
      </c>
      <c r="K316" s="24"/>
      <c r="L316" s="20" t="str">
        <f t="shared" si="8"/>
        <v/>
      </c>
      <c r="M316" s="21">
        <f t="shared" si="9"/>
        <v>7</v>
      </c>
    </row>
    <row r="317" spans="1:13" ht="15" customHeight="1">
      <c r="A317" s="17" t="s">
        <v>3002</v>
      </c>
      <c r="B317" s="17">
        <v>6</v>
      </c>
      <c r="C317" s="17" t="s">
        <v>244</v>
      </c>
      <c r="D317" s="17" t="s">
        <v>3003</v>
      </c>
      <c r="E317" s="18" t="s">
        <v>3004</v>
      </c>
      <c r="F317" s="17" t="s">
        <v>3005</v>
      </c>
      <c r="G317" s="24"/>
      <c r="H317" s="24"/>
      <c r="I317" s="19" t="s">
        <v>1783</v>
      </c>
      <c r="J317" s="19" t="s">
        <v>95</v>
      </c>
      <c r="K317" s="24"/>
      <c r="L317" s="20" t="str">
        <f t="shared" si="8"/>
        <v/>
      </c>
      <c r="M317" s="21">
        <f t="shared" si="9"/>
        <v>9</v>
      </c>
    </row>
    <row r="318" spans="1:13" ht="15" customHeight="1">
      <c r="A318" s="17" t="s">
        <v>3006</v>
      </c>
      <c r="B318" s="17">
        <v>6</v>
      </c>
      <c r="C318" s="17" t="s">
        <v>244</v>
      </c>
      <c r="D318" s="17" t="s">
        <v>3007</v>
      </c>
      <c r="E318" s="18" t="s">
        <v>3008</v>
      </c>
      <c r="F318" s="17" t="s">
        <v>3009</v>
      </c>
      <c r="G318" s="24"/>
      <c r="H318" s="24"/>
      <c r="I318" s="19" t="s">
        <v>1783</v>
      </c>
      <c r="J318" s="19" t="s">
        <v>95</v>
      </c>
      <c r="K318" s="24"/>
      <c r="L318" s="20" t="str">
        <f t="shared" si="8"/>
        <v/>
      </c>
      <c r="M318" s="21">
        <f t="shared" si="9"/>
        <v>8</v>
      </c>
    </row>
    <row r="319" spans="1:13" ht="15" customHeight="1">
      <c r="A319" s="17" t="s">
        <v>3010</v>
      </c>
      <c r="B319" s="17">
        <v>6</v>
      </c>
      <c r="C319" s="17" t="s">
        <v>244</v>
      </c>
      <c r="D319" s="17" t="s">
        <v>3011</v>
      </c>
      <c r="E319" s="18" t="s">
        <v>3012</v>
      </c>
      <c r="F319" s="17" t="s">
        <v>3013</v>
      </c>
      <c r="G319" s="24"/>
      <c r="H319" s="24"/>
      <c r="I319" s="19" t="s">
        <v>1783</v>
      </c>
      <c r="J319" s="19" t="s">
        <v>95</v>
      </c>
      <c r="K319" s="24"/>
      <c r="L319" s="20" t="str">
        <f t="shared" si="8"/>
        <v/>
      </c>
      <c r="M319" s="21">
        <f t="shared" si="9"/>
        <v>8</v>
      </c>
    </row>
    <row r="320" spans="1:13" ht="15" customHeight="1">
      <c r="A320" s="17" t="s">
        <v>3014</v>
      </c>
      <c r="B320" s="17">
        <v>6</v>
      </c>
      <c r="C320" s="17" t="s">
        <v>244</v>
      </c>
      <c r="D320" s="17" t="s">
        <v>3015</v>
      </c>
      <c r="E320" s="18" t="s">
        <v>3016</v>
      </c>
      <c r="F320" s="17" t="s">
        <v>3017</v>
      </c>
      <c r="G320" s="24"/>
      <c r="H320" s="24"/>
      <c r="I320" s="19" t="s">
        <v>1783</v>
      </c>
      <c r="J320" s="19" t="s">
        <v>95</v>
      </c>
      <c r="K320" s="24"/>
      <c r="L320" s="20" t="str">
        <f t="shared" si="8"/>
        <v/>
      </c>
      <c r="M320" s="21">
        <f t="shared" si="9"/>
        <v>5</v>
      </c>
    </row>
    <row r="321" spans="1:13" ht="15" customHeight="1">
      <c r="A321" s="17" t="s">
        <v>3018</v>
      </c>
      <c r="B321" s="17">
        <v>6</v>
      </c>
      <c r="C321" s="17" t="s">
        <v>244</v>
      </c>
      <c r="D321" s="17" t="s">
        <v>3019</v>
      </c>
      <c r="E321" s="18" t="s">
        <v>3020</v>
      </c>
      <c r="F321" s="17" t="s">
        <v>3021</v>
      </c>
      <c r="G321" s="24"/>
      <c r="H321" s="24"/>
      <c r="I321" s="19" t="s">
        <v>1783</v>
      </c>
      <c r="J321" s="19" t="s">
        <v>95</v>
      </c>
      <c r="K321" s="24"/>
      <c r="L321" s="20" t="str">
        <f t="shared" si="8"/>
        <v/>
      </c>
      <c r="M321" s="21">
        <f t="shared" si="9"/>
        <v>6</v>
      </c>
    </row>
    <row r="322" spans="1:13" ht="15" customHeight="1">
      <c r="A322" s="17" t="s">
        <v>3022</v>
      </c>
      <c r="B322" s="17">
        <v>3</v>
      </c>
      <c r="C322" s="17" t="s">
        <v>251</v>
      </c>
      <c r="D322" s="17" t="s">
        <v>3023</v>
      </c>
      <c r="E322" s="18" t="s">
        <v>3024</v>
      </c>
      <c r="F322" s="17" t="s">
        <v>3025</v>
      </c>
      <c r="G322" s="24"/>
      <c r="H322" s="24"/>
      <c r="I322" s="19" t="s">
        <v>1783</v>
      </c>
      <c r="J322" s="19" t="s">
        <v>95</v>
      </c>
      <c r="K322" s="24"/>
      <c r="L322" s="20" t="str">
        <f t="shared" ref="L322:L385" si="10">IF(A322="","",IF(COUNTIF($A$2:$A$401,A322)&gt;1,"중복",""))</f>
        <v/>
      </c>
      <c r="M322" s="21">
        <f t="shared" ref="M322:M385" si="11">IF(D322="","",LEN(D322))</f>
        <v>6</v>
      </c>
    </row>
    <row r="323" spans="1:13" ht="15" customHeight="1">
      <c r="A323" s="17" t="s">
        <v>3026</v>
      </c>
      <c r="B323" s="17">
        <v>3</v>
      </c>
      <c r="C323" s="17" t="s">
        <v>251</v>
      </c>
      <c r="D323" s="17" t="s">
        <v>3027</v>
      </c>
      <c r="E323" s="18" t="s">
        <v>3028</v>
      </c>
      <c r="F323" s="17" t="s">
        <v>3029</v>
      </c>
      <c r="G323" s="24"/>
      <c r="H323" s="24"/>
      <c r="I323" s="19" t="s">
        <v>1783</v>
      </c>
      <c r="J323" s="19" t="s">
        <v>95</v>
      </c>
      <c r="K323" s="24"/>
      <c r="L323" s="20" t="str">
        <f t="shared" si="10"/>
        <v/>
      </c>
      <c r="M323" s="21">
        <f t="shared" si="11"/>
        <v>5</v>
      </c>
    </row>
    <row r="324" spans="1:13" ht="15" customHeight="1">
      <c r="A324" s="17" t="s">
        <v>3030</v>
      </c>
      <c r="B324" s="17">
        <v>3</v>
      </c>
      <c r="C324" s="17" t="s">
        <v>251</v>
      </c>
      <c r="D324" s="17" t="s">
        <v>3031</v>
      </c>
      <c r="E324" s="18" t="s">
        <v>3032</v>
      </c>
      <c r="F324" s="17" t="s">
        <v>3033</v>
      </c>
      <c r="G324" s="24"/>
      <c r="H324" s="24"/>
      <c r="I324" s="19" t="s">
        <v>1783</v>
      </c>
      <c r="J324" s="19" t="s">
        <v>95</v>
      </c>
      <c r="K324" s="24"/>
      <c r="L324" s="20" t="str">
        <f t="shared" si="10"/>
        <v/>
      </c>
      <c r="M324" s="21">
        <f t="shared" si="11"/>
        <v>6</v>
      </c>
    </row>
    <row r="325" spans="1:13" ht="15" customHeight="1">
      <c r="A325" s="17" t="s">
        <v>3034</v>
      </c>
      <c r="B325" s="17">
        <v>3</v>
      </c>
      <c r="C325" s="17" t="s">
        <v>251</v>
      </c>
      <c r="D325" s="17" t="s">
        <v>3035</v>
      </c>
      <c r="E325" s="18" t="s">
        <v>3036</v>
      </c>
      <c r="F325" s="17" t="s">
        <v>3037</v>
      </c>
      <c r="G325" s="24"/>
      <c r="H325" s="24"/>
      <c r="I325" s="19" t="s">
        <v>1783</v>
      </c>
      <c r="J325" s="19" t="s">
        <v>95</v>
      </c>
      <c r="K325" s="24"/>
      <c r="L325" s="20" t="str">
        <f t="shared" si="10"/>
        <v/>
      </c>
      <c r="M325" s="21">
        <f t="shared" si="11"/>
        <v>4</v>
      </c>
    </row>
    <row r="326" spans="1:13" ht="15" customHeight="1">
      <c r="A326" s="17" t="s">
        <v>3038</v>
      </c>
      <c r="B326" s="17">
        <v>3</v>
      </c>
      <c r="C326" s="17" t="s">
        <v>251</v>
      </c>
      <c r="D326" s="17" t="s">
        <v>3039</v>
      </c>
      <c r="E326" s="18" t="s">
        <v>3040</v>
      </c>
      <c r="F326" s="17" t="s">
        <v>3041</v>
      </c>
      <c r="G326" s="24"/>
      <c r="H326" s="24"/>
      <c r="I326" s="19" t="s">
        <v>1783</v>
      </c>
      <c r="J326" s="19" t="s">
        <v>95</v>
      </c>
      <c r="K326" s="24"/>
      <c r="L326" s="20" t="str">
        <f t="shared" si="10"/>
        <v/>
      </c>
      <c r="M326" s="21">
        <f t="shared" si="11"/>
        <v>14</v>
      </c>
    </row>
    <row r="327" spans="1:13" ht="15" customHeight="1">
      <c r="A327" s="17" t="s">
        <v>3042</v>
      </c>
      <c r="B327" s="17">
        <v>4</v>
      </c>
      <c r="C327" s="17" t="s">
        <v>251</v>
      </c>
      <c r="D327" s="17" t="s">
        <v>3043</v>
      </c>
      <c r="E327" s="18" t="s">
        <v>3044</v>
      </c>
      <c r="F327" s="17" t="s">
        <v>3045</v>
      </c>
      <c r="G327" s="24"/>
      <c r="H327" s="24"/>
      <c r="I327" s="19" t="s">
        <v>1783</v>
      </c>
      <c r="J327" s="19" t="s">
        <v>95</v>
      </c>
      <c r="K327" s="24"/>
      <c r="L327" s="20" t="str">
        <f t="shared" si="10"/>
        <v/>
      </c>
      <c r="M327" s="21">
        <f t="shared" si="11"/>
        <v>11</v>
      </c>
    </row>
    <row r="328" spans="1:13" ht="15" customHeight="1">
      <c r="A328" s="17" t="s">
        <v>3046</v>
      </c>
      <c r="B328" s="17">
        <v>4</v>
      </c>
      <c r="C328" s="17" t="s">
        <v>251</v>
      </c>
      <c r="D328" s="17" t="s">
        <v>3047</v>
      </c>
      <c r="E328" s="18" t="s">
        <v>3048</v>
      </c>
      <c r="F328" s="17" t="s">
        <v>3049</v>
      </c>
      <c r="G328" s="24"/>
      <c r="H328" s="24"/>
      <c r="I328" s="19" t="s">
        <v>1783</v>
      </c>
      <c r="J328" s="19" t="s">
        <v>95</v>
      </c>
      <c r="K328" s="24"/>
      <c r="L328" s="20" t="str">
        <f t="shared" si="10"/>
        <v/>
      </c>
      <c r="M328" s="21">
        <f t="shared" si="11"/>
        <v>5</v>
      </c>
    </row>
    <row r="329" spans="1:13" ht="15" customHeight="1">
      <c r="A329" s="17" t="s">
        <v>3050</v>
      </c>
      <c r="B329" s="17">
        <v>4</v>
      </c>
      <c r="C329" s="17" t="s">
        <v>251</v>
      </c>
      <c r="D329" s="17" t="s">
        <v>3051</v>
      </c>
      <c r="E329" s="18" t="s">
        <v>3052</v>
      </c>
      <c r="F329" s="17" t="s">
        <v>3053</v>
      </c>
      <c r="G329" s="24"/>
      <c r="H329" s="24"/>
      <c r="I329" s="19" t="s">
        <v>1783</v>
      </c>
      <c r="J329" s="19" t="s">
        <v>95</v>
      </c>
      <c r="K329" s="24"/>
      <c r="L329" s="20" t="str">
        <f t="shared" si="10"/>
        <v/>
      </c>
      <c r="M329" s="21">
        <f t="shared" si="11"/>
        <v>6</v>
      </c>
    </row>
    <row r="330" spans="1:13" ht="15" customHeight="1">
      <c r="A330" s="17" t="s">
        <v>3054</v>
      </c>
      <c r="B330" s="17">
        <v>4</v>
      </c>
      <c r="C330" s="17" t="s">
        <v>251</v>
      </c>
      <c r="D330" s="17" t="s">
        <v>3055</v>
      </c>
      <c r="E330" s="18" t="s">
        <v>3056</v>
      </c>
      <c r="F330" s="17" t="s">
        <v>3057</v>
      </c>
      <c r="G330" s="24"/>
      <c r="H330" s="24"/>
      <c r="I330" s="19" t="s">
        <v>1783</v>
      </c>
      <c r="J330" s="19" t="s">
        <v>95</v>
      </c>
      <c r="K330" s="24"/>
      <c r="L330" s="20" t="str">
        <f t="shared" si="10"/>
        <v/>
      </c>
      <c r="M330" s="21">
        <f t="shared" si="11"/>
        <v>6</v>
      </c>
    </row>
    <row r="331" spans="1:13" ht="15" customHeight="1">
      <c r="A331" s="17" t="s">
        <v>3058</v>
      </c>
      <c r="B331" s="17">
        <v>4</v>
      </c>
      <c r="C331" s="17" t="s">
        <v>251</v>
      </c>
      <c r="D331" s="17" t="s">
        <v>3059</v>
      </c>
      <c r="E331" s="18" t="s">
        <v>3060</v>
      </c>
      <c r="F331" s="17" t="s">
        <v>3061</v>
      </c>
      <c r="G331" s="24"/>
      <c r="H331" s="24"/>
      <c r="I331" s="19" t="s">
        <v>1783</v>
      </c>
      <c r="J331" s="19" t="s">
        <v>95</v>
      </c>
      <c r="K331" s="24"/>
      <c r="L331" s="20" t="str">
        <f t="shared" si="10"/>
        <v/>
      </c>
      <c r="M331" s="21">
        <f t="shared" si="11"/>
        <v>6</v>
      </c>
    </row>
    <row r="332" spans="1:13" ht="15" customHeight="1">
      <c r="A332" s="17" t="s">
        <v>3062</v>
      </c>
      <c r="B332" s="17">
        <v>5</v>
      </c>
      <c r="C332" s="17" t="s">
        <v>251</v>
      </c>
      <c r="D332" s="17" t="s">
        <v>3063</v>
      </c>
      <c r="E332" s="18" t="s">
        <v>3064</v>
      </c>
      <c r="F332" s="17" t="s">
        <v>3065</v>
      </c>
      <c r="G332" s="24"/>
      <c r="H332" s="24"/>
      <c r="I332" s="19" t="s">
        <v>1783</v>
      </c>
      <c r="J332" s="19" t="s">
        <v>95</v>
      </c>
      <c r="K332" s="24"/>
      <c r="L332" s="20" t="str">
        <f t="shared" si="10"/>
        <v/>
      </c>
      <c r="M332" s="21">
        <f t="shared" si="11"/>
        <v>8</v>
      </c>
    </row>
    <row r="333" spans="1:13" ht="15" customHeight="1">
      <c r="A333" s="17" t="s">
        <v>3066</v>
      </c>
      <c r="B333" s="17">
        <v>5</v>
      </c>
      <c r="C333" s="17" t="s">
        <v>251</v>
      </c>
      <c r="D333" s="17" t="s">
        <v>3067</v>
      </c>
      <c r="E333" s="18" t="s">
        <v>3068</v>
      </c>
      <c r="F333" s="17" t="s">
        <v>3069</v>
      </c>
      <c r="G333" s="24"/>
      <c r="H333" s="24"/>
      <c r="I333" s="19" t="s">
        <v>1783</v>
      </c>
      <c r="J333" s="19" t="s">
        <v>95</v>
      </c>
      <c r="K333" s="24"/>
      <c r="L333" s="20" t="str">
        <f t="shared" si="10"/>
        <v/>
      </c>
      <c r="M333" s="21">
        <f t="shared" si="11"/>
        <v>9</v>
      </c>
    </row>
    <row r="334" spans="1:13" ht="15" customHeight="1">
      <c r="A334" s="17" t="s">
        <v>3070</v>
      </c>
      <c r="B334" s="17">
        <v>5</v>
      </c>
      <c r="C334" s="17" t="s">
        <v>251</v>
      </c>
      <c r="D334" s="17" t="s">
        <v>3071</v>
      </c>
      <c r="E334" s="18" t="s">
        <v>3072</v>
      </c>
      <c r="F334" s="17" t="s">
        <v>3073</v>
      </c>
      <c r="G334" s="24"/>
      <c r="H334" s="24"/>
      <c r="I334" s="19" t="s">
        <v>1783</v>
      </c>
      <c r="J334" s="19" t="s">
        <v>95</v>
      </c>
      <c r="K334" s="24"/>
      <c r="L334" s="20" t="str">
        <f t="shared" si="10"/>
        <v/>
      </c>
      <c r="M334" s="21">
        <f t="shared" si="11"/>
        <v>8</v>
      </c>
    </row>
    <row r="335" spans="1:13" ht="15" customHeight="1">
      <c r="A335" s="17" t="s">
        <v>3074</v>
      </c>
      <c r="B335" s="17">
        <v>5</v>
      </c>
      <c r="C335" s="17" t="s">
        <v>251</v>
      </c>
      <c r="D335" s="17" t="s">
        <v>3075</v>
      </c>
      <c r="E335" s="18" t="s">
        <v>3076</v>
      </c>
      <c r="F335" s="17" t="s">
        <v>3077</v>
      </c>
      <c r="G335" s="24"/>
      <c r="H335" s="24"/>
      <c r="I335" s="19" t="s">
        <v>1783</v>
      </c>
      <c r="J335" s="19" t="s">
        <v>95</v>
      </c>
      <c r="K335" s="24"/>
      <c r="L335" s="20" t="str">
        <f t="shared" si="10"/>
        <v/>
      </c>
      <c r="M335" s="21">
        <f t="shared" si="11"/>
        <v>6</v>
      </c>
    </row>
    <row r="336" spans="1:13" ht="15" customHeight="1">
      <c r="A336" s="17" t="s">
        <v>3078</v>
      </c>
      <c r="B336" s="17">
        <v>5</v>
      </c>
      <c r="C336" s="17" t="s">
        <v>251</v>
      </c>
      <c r="D336" s="17" t="s">
        <v>3079</v>
      </c>
      <c r="E336" s="18" t="s">
        <v>3080</v>
      </c>
      <c r="F336" s="17" t="s">
        <v>3081</v>
      </c>
      <c r="G336" s="24"/>
      <c r="H336" s="24"/>
      <c r="I336" s="19" t="s">
        <v>1783</v>
      </c>
      <c r="J336" s="19" t="s">
        <v>95</v>
      </c>
      <c r="K336" s="24"/>
      <c r="L336" s="20" t="str">
        <f t="shared" si="10"/>
        <v/>
      </c>
      <c r="M336" s="21">
        <f t="shared" si="11"/>
        <v>12</v>
      </c>
    </row>
    <row r="337" spans="1:13" ht="15" customHeight="1">
      <c r="A337" s="17" t="s">
        <v>3082</v>
      </c>
      <c r="B337" s="17">
        <v>6</v>
      </c>
      <c r="C337" s="17" t="s">
        <v>251</v>
      </c>
      <c r="D337" s="17" t="s">
        <v>3083</v>
      </c>
      <c r="E337" s="18" t="s">
        <v>3084</v>
      </c>
      <c r="F337" s="17" t="s">
        <v>3085</v>
      </c>
      <c r="G337" s="24"/>
      <c r="H337" s="24"/>
      <c r="I337" s="19" t="s">
        <v>1783</v>
      </c>
      <c r="J337" s="19" t="s">
        <v>95</v>
      </c>
      <c r="K337" s="24"/>
      <c r="L337" s="20" t="str">
        <f t="shared" si="10"/>
        <v/>
      </c>
      <c r="M337" s="21">
        <f t="shared" si="11"/>
        <v>10</v>
      </c>
    </row>
    <row r="338" spans="1:13" ht="15" customHeight="1">
      <c r="A338" s="17" t="s">
        <v>3086</v>
      </c>
      <c r="B338" s="17">
        <v>6</v>
      </c>
      <c r="C338" s="17" t="s">
        <v>251</v>
      </c>
      <c r="D338" s="17" t="s">
        <v>3087</v>
      </c>
      <c r="E338" s="18" t="s">
        <v>3088</v>
      </c>
      <c r="F338" s="17" t="s">
        <v>3089</v>
      </c>
      <c r="G338" s="24"/>
      <c r="H338" s="24"/>
      <c r="I338" s="19" t="s">
        <v>1783</v>
      </c>
      <c r="J338" s="19" t="s">
        <v>95</v>
      </c>
      <c r="K338" s="24"/>
      <c r="L338" s="20" t="str">
        <f t="shared" si="10"/>
        <v/>
      </c>
      <c r="M338" s="21">
        <f t="shared" si="11"/>
        <v>6</v>
      </c>
    </row>
    <row r="339" spans="1:13" ht="15" customHeight="1">
      <c r="A339" s="17" t="s">
        <v>3090</v>
      </c>
      <c r="B339" s="17">
        <v>6</v>
      </c>
      <c r="C339" s="17" t="s">
        <v>251</v>
      </c>
      <c r="D339" s="17" t="s">
        <v>3091</v>
      </c>
      <c r="E339" s="18" t="s">
        <v>3084</v>
      </c>
      <c r="F339" s="17" t="s">
        <v>3092</v>
      </c>
      <c r="G339" s="24"/>
      <c r="H339" s="24"/>
      <c r="I339" s="19" t="s">
        <v>1783</v>
      </c>
      <c r="J339" s="19" t="s">
        <v>95</v>
      </c>
      <c r="K339" s="24"/>
      <c r="L339" s="20" t="str">
        <f t="shared" si="10"/>
        <v/>
      </c>
      <c r="M339" s="21">
        <f t="shared" si="11"/>
        <v>10</v>
      </c>
    </row>
    <row r="340" spans="1:13" ht="15" customHeight="1">
      <c r="A340" s="17" t="s">
        <v>3093</v>
      </c>
      <c r="B340" s="17">
        <v>6</v>
      </c>
      <c r="C340" s="17" t="s">
        <v>251</v>
      </c>
      <c r="D340" s="17" t="s">
        <v>3094</v>
      </c>
      <c r="E340" s="18" t="s">
        <v>3095</v>
      </c>
      <c r="F340" s="17" t="s">
        <v>3096</v>
      </c>
      <c r="G340" s="24"/>
      <c r="H340" s="24"/>
      <c r="I340" s="19" t="s">
        <v>1783</v>
      </c>
      <c r="J340" s="19" t="s">
        <v>95</v>
      </c>
      <c r="K340" s="24"/>
      <c r="L340" s="20" t="str">
        <f t="shared" si="10"/>
        <v/>
      </c>
      <c r="M340" s="21">
        <f t="shared" si="11"/>
        <v>8</v>
      </c>
    </row>
    <row r="341" spans="1:13" ht="15" customHeight="1">
      <c r="A341" s="17" t="s">
        <v>3097</v>
      </c>
      <c r="B341" s="17">
        <v>6</v>
      </c>
      <c r="C341" s="17" t="s">
        <v>251</v>
      </c>
      <c r="D341" s="17" t="s">
        <v>3098</v>
      </c>
      <c r="E341" s="18" t="s">
        <v>3099</v>
      </c>
      <c r="F341" s="17" t="s">
        <v>3100</v>
      </c>
      <c r="G341" s="24"/>
      <c r="H341" s="24"/>
      <c r="I341" s="19" t="s">
        <v>1783</v>
      </c>
      <c r="J341" s="19" t="s">
        <v>95</v>
      </c>
      <c r="K341" s="24"/>
      <c r="L341" s="20" t="str">
        <f t="shared" si="10"/>
        <v/>
      </c>
      <c r="M341" s="21">
        <f t="shared" si="11"/>
        <v>12</v>
      </c>
    </row>
    <row r="342" spans="1:13" ht="15" customHeight="1">
      <c r="A342" s="17" t="s">
        <v>3101</v>
      </c>
      <c r="B342" s="17">
        <v>3</v>
      </c>
      <c r="C342" s="17" t="s">
        <v>264</v>
      </c>
      <c r="D342" s="17" t="s">
        <v>3102</v>
      </c>
      <c r="E342" s="18" t="s">
        <v>3103</v>
      </c>
      <c r="F342" s="17" t="s">
        <v>1595</v>
      </c>
      <c r="G342" s="24"/>
      <c r="H342" s="24"/>
      <c r="I342" s="19" t="s">
        <v>1783</v>
      </c>
      <c r="J342" s="19" t="s">
        <v>95</v>
      </c>
      <c r="K342" s="24"/>
      <c r="L342" s="20" t="str">
        <f t="shared" si="10"/>
        <v/>
      </c>
      <c r="M342" s="21">
        <f t="shared" si="11"/>
        <v>5</v>
      </c>
    </row>
    <row r="343" spans="1:13" ht="15" customHeight="1">
      <c r="A343" s="17" t="s">
        <v>3104</v>
      </c>
      <c r="B343" s="17">
        <v>3</v>
      </c>
      <c r="C343" s="17" t="s">
        <v>264</v>
      </c>
      <c r="D343" s="17" t="s">
        <v>3105</v>
      </c>
      <c r="E343" s="18" t="s">
        <v>3106</v>
      </c>
      <c r="F343" s="17" t="s">
        <v>3107</v>
      </c>
      <c r="G343" s="24"/>
      <c r="H343" s="24"/>
      <c r="I343" s="19" t="s">
        <v>1783</v>
      </c>
      <c r="J343" s="19" t="s">
        <v>95</v>
      </c>
      <c r="K343" s="24"/>
      <c r="L343" s="20" t="str">
        <f t="shared" si="10"/>
        <v/>
      </c>
      <c r="M343" s="21">
        <f t="shared" si="11"/>
        <v>3</v>
      </c>
    </row>
    <row r="344" spans="1:13" ht="15" customHeight="1">
      <c r="A344" s="17" t="s">
        <v>3108</v>
      </c>
      <c r="B344" s="17">
        <v>3</v>
      </c>
      <c r="C344" s="17" t="s">
        <v>264</v>
      </c>
      <c r="D344" s="17" t="s">
        <v>3109</v>
      </c>
      <c r="E344" s="18" t="s">
        <v>3110</v>
      </c>
      <c r="F344" s="17" t="s">
        <v>3111</v>
      </c>
      <c r="G344" s="24"/>
      <c r="H344" s="24"/>
      <c r="I344" s="19" t="s">
        <v>1783</v>
      </c>
      <c r="J344" s="19" t="s">
        <v>95</v>
      </c>
      <c r="K344" s="24"/>
      <c r="L344" s="20" t="str">
        <f t="shared" si="10"/>
        <v/>
      </c>
      <c r="M344" s="21">
        <f t="shared" si="11"/>
        <v>5</v>
      </c>
    </row>
    <row r="345" spans="1:13" ht="15" customHeight="1">
      <c r="A345" s="17" t="s">
        <v>3112</v>
      </c>
      <c r="B345" s="17">
        <v>3</v>
      </c>
      <c r="C345" s="17" t="s">
        <v>264</v>
      </c>
      <c r="D345" s="17" t="s">
        <v>3113</v>
      </c>
      <c r="E345" s="18" t="s">
        <v>3114</v>
      </c>
      <c r="F345" s="17" t="s">
        <v>3115</v>
      </c>
      <c r="G345" s="24"/>
      <c r="H345" s="24"/>
      <c r="I345" s="19" t="s">
        <v>1783</v>
      </c>
      <c r="J345" s="19" t="s">
        <v>95</v>
      </c>
      <c r="K345" s="24"/>
      <c r="L345" s="20" t="str">
        <f t="shared" si="10"/>
        <v/>
      </c>
      <c r="M345" s="21">
        <f t="shared" si="11"/>
        <v>5</v>
      </c>
    </row>
    <row r="346" spans="1:13" ht="15" customHeight="1">
      <c r="A346" s="17" t="s">
        <v>3116</v>
      </c>
      <c r="B346" s="17">
        <v>3</v>
      </c>
      <c r="C346" s="17" t="s">
        <v>264</v>
      </c>
      <c r="D346" s="17" t="s">
        <v>3117</v>
      </c>
      <c r="E346" s="18" t="s">
        <v>3118</v>
      </c>
      <c r="F346" s="17" t="s">
        <v>3119</v>
      </c>
      <c r="G346" s="24"/>
      <c r="H346" s="24"/>
      <c r="I346" s="19" t="s">
        <v>1783</v>
      </c>
      <c r="J346" s="19" t="s">
        <v>95</v>
      </c>
      <c r="K346" s="24"/>
      <c r="L346" s="20" t="str">
        <f t="shared" si="10"/>
        <v/>
      </c>
      <c r="M346" s="21">
        <f t="shared" si="11"/>
        <v>6</v>
      </c>
    </row>
    <row r="347" spans="1:13" ht="15" customHeight="1">
      <c r="A347" s="17" t="s">
        <v>3120</v>
      </c>
      <c r="B347" s="17">
        <v>4</v>
      </c>
      <c r="C347" s="17" t="s">
        <v>264</v>
      </c>
      <c r="D347" s="17" t="s">
        <v>3121</v>
      </c>
      <c r="E347" s="18" t="s">
        <v>3122</v>
      </c>
      <c r="F347" s="17" t="s">
        <v>3123</v>
      </c>
      <c r="G347" s="24"/>
      <c r="H347" s="24"/>
      <c r="I347" s="19" t="s">
        <v>1783</v>
      </c>
      <c r="J347" s="19" t="s">
        <v>95</v>
      </c>
      <c r="K347" s="24"/>
      <c r="L347" s="20" t="str">
        <f t="shared" si="10"/>
        <v/>
      </c>
      <c r="M347" s="21">
        <f t="shared" si="11"/>
        <v>7</v>
      </c>
    </row>
    <row r="348" spans="1:13" ht="15" customHeight="1">
      <c r="A348" s="17" t="s">
        <v>3124</v>
      </c>
      <c r="B348" s="17">
        <v>4</v>
      </c>
      <c r="C348" s="17" t="s">
        <v>264</v>
      </c>
      <c r="D348" s="17" t="s">
        <v>3125</v>
      </c>
      <c r="E348" s="18" t="s">
        <v>3126</v>
      </c>
      <c r="F348" s="17" t="s">
        <v>3127</v>
      </c>
      <c r="G348" s="24"/>
      <c r="H348" s="24"/>
      <c r="I348" s="19" t="s">
        <v>1783</v>
      </c>
      <c r="J348" s="19" t="s">
        <v>95</v>
      </c>
      <c r="K348" s="24"/>
      <c r="L348" s="20" t="str">
        <f t="shared" si="10"/>
        <v/>
      </c>
      <c r="M348" s="21">
        <f t="shared" si="11"/>
        <v>6</v>
      </c>
    </row>
    <row r="349" spans="1:13" ht="15" customHeight="1">
      <c r="A349" s="17" t="s">
        <v>3128</v>
      </c>
      <c r="B349" s="17">
        <v>4</v>
      </c>
      <c r="C349" s="17" t="s">
        <v>264</v>
      </c>
      <c r="D349" s="17" t="s">
        <v>3129</v>
      </c>
      <c r="E349" s="18" t="s">
        <v>3130</v>
      </c>
      <c r="F349" s="17" t="s">
        <v>3131</v>
      </c>
      <c r="G349" s="24"/>
      <c r="H349" s="24"/>
      <c r="I349" s="19" t="s">
        <v>1783</v>
      </c>
      <c r="J349" s="19" t="s">
        <v>95</v>
      </c>
      <c r="K349" s="24"/>
      <c r="L349" s="20" t="str">
        <f t="shared" si="10"/>
        <v/>
      </c>
      <c r="M349" s="21">
        <f t="shared" si="11"/>
        <v>9</v>
      </c>
    </row>
    <row r="350" spans="1:13" ht="15" customHeight="1">
      <c r="A350" s="17" t="s">
        <v>3132</v>
      </c>
      <c r="B350" s="17">
        <v>4</v>
      </c>
      <c r="C350" s="17" t="s">
        <v>264</v>
      </c>
      <c r="D350" s="17" t="s">
        <v>3133</v>
      </c>
      <c r="E350" s="18" t="s">
        <v>3134</v>
      </c>
      <c r="F350" s="17" t="s">
        <v>3135</v>
      </c>
      <c r="G350" s="24"/>
      <c r="H350" s="24"/>
      <c r="I350" s="19" t="s">
        <v>1783</v>
      </c>
      <c r="J350" s="19" t="s">
        <v>95</v>
      </c>
      <c r="K350" s="24"/>
      <c r="L350" s="20" t="str">
        <f t="shared" si="10"/>
        <v/>
      </c>
      <c r="M350" s="21">
        <f t="shared" si="11"/>
        <v>5</v>
      </c>
    </row>
    <row r="351" spans="1:13" ht="15" customHeight="1">
      <c r="A351" s="17" t="s">
        <v>3136</v>
      </c>
      <c r="B351" s="17">
        <v>4</v>
      </c>
      <c r="C351" s="17" t="s">
        <v>264</v>
      </c>
      <c r="D351" s="17" t="s">
        <v>3137</v>
      </c>
      <c r="E351" s="18" t="s">
        <v>3138</v>
      </c>
      <c r="F351" s="17" t="s">
        <v>3139</v>
      </c>
      <c r="G351" s="24"/>
      <c r="H351" s="24"/>
      <c r="I351" s="19" t="s">
        <v>1783</v>
      </c>
      <c r="J351" s="19" t="s">
        <v>95</v>
      </c>
      <c r="K351" s="24"/>
      <c r="L351" s="20" t="str">
        <f t="shared" si="10"/>
        <v/>
      </c>
      <c r="M351" s="21">
        <f t="shared" si="11"/>
        <v>7</v>
      </c>
    </row>
    <row r="352" spans="1:13" ht="15" customHeight="1">
      <c r="A352" s="17" t="s">
        <v>3140</v>
      </c>
      <c r="B352" s="17">
        <v>5</v>
      </c>
      <c r="C352" s="17" t="s">
        <v>264</v>
      </c>
      <c r="D352" s="17" t="s">
        <v>3141</v>
      </c>
      <c r="E352" s="18" t="s">
        <v>3142</v>
      </c>
      <c r="F352" s="17" t="s">
        <v>3143</v>
      </c>
      <c r="G352" s="24"/>
      <c r="H352" s="24"/>
      <c r="I352" s="19" t="s">
        <v>1783</v>
      </c>
      <c r="J352" s="19" t="s">
        <v>95</v>
      </c>
      <c r="K352" s="24"/>
      <c r="L352" s="20" t="str">
        <f t="shared" si="10"/>
        <v/>
      </c>
      <c r="M352" s="21">
        <f t="shared" si="11"/>
        <v>5</v>
      </c>
    </row>
    <row r="353" spans="1:13" ht="15" customHeight="1">
      <c r="A353" s="17" t="s">
        <v>3144</v>
      </c>
      <c r="B353" s="17">
        <v>5</v>
      </c>
      <c r="C353" s="17" t="s">
        <v>264</v>
      </c>
      <c r="D353" s="17" t="s">
        <v>3145</v>
      </c>
      <c r="E353" s="18" t="s">
        <v>3146</v>
      </c>
      <c r="F353" s="17" t="s">
        <v>3147</v>
      </c>
      <c r="G353" s="24"/>
      <c r="H353" s="24"/>
      <c r="I353" s="19" t="s">
        <v>1783</v>
      </c>
      <c r="J353" s="19" t="s">
        <v>95</v>
      </c>
      <c r="K353" s="24"/>
      <c r="L353" s="20" t="str">
        <f t="shared" si="10"/>
        <v/>
      </c>
      <c r="M353" s="21">
        <f t="shared" si="11"/>
        <v>7</v>
      </c>
    </row>
    <row r="354" spans="1:13" ht="15" customHeight="1">
      <c r="A354" s="17" t="s">
        <v>3148</v>
      </c>
      <c r="B354" s="17">
        <v>5</v>
      </c>
      <c r="C354" s="17" t="s">
        <v>264</v>
      </c>
      <c r="D354" s="17" t="s">
        <v>3149</v>
      </c>
      <c r="E354" s="18" t="s">
        <v>3150</v>
      </c>
      <c r="F354" s="17" t="s">
        <v>3151</v>
      </c>
      <c r="G354" s="24"/>
      <c r="H354" s="24"/>
      <c r="I354" s="19" t="s">
        <v>1783</v>
      </c>
      <c r="J354" s="19" t="s">
        <v>95</v>
      </c>
      <c r="K354" s="24"/>
      <c r="L354" s="20" t="str">
        <f t="shared" si="10"/>
        <v/>
      </c>
      <c r="M354" s="21">
        <f t="shared" si="11"/>
        <v>7</v>
      </c>
    </row>
    <row r="355" spans="1:13" ht="15" customHeight="1">
      <c r="A355" s="17" t="s">
        <v>3152</v>
      </c>
      <c r="B355" s="17">
        <v>5</v>
      </c>
      <c r="C355" s="17" t="s">
        <v>264</v>
      </c>
      <c r="D355" s="17" t="s">
        <v>3153</v>
      </c>
      <c r="E355" s="18" t="s">
        <v>3154</v>
      </c>
      <c r="F355" s="17" t="s">
        <v>3155</v>
      </c>
      <c r="G355" s="24"/>
      <c r="H355" s="24"/>
      <c r="I355" s="19" t="s">
        <v>1783</v>
      </c>
      <c r="J355" s="19" t="s">
        <v>95</v>
      </c>
      <c r="K355" s="24"/>
      <c r="L355" s="20" t="str">
        <f t="shared" si="10"/>
        <v/>
      </c>
      <c r="M355" s="21">
        <f t="shared" si="11"/>
        <v>9</v>
      </c>
    </row>
    <row r="356" spans="1:13" ht="15" customHeight="1">
      <c r="A356" s="17" t="s">
        <v>3156</v>
      </c>
      <c r="B356" s="17">
        <v>5</v>
      </c>
      <c r="C356" s="17" t="s">
        <v>264</v>
      </c>
      <c r="D356" s="17" t="s">
        <v>3157</v>
      </c>
      <c r="E356" s="18" t="s">
        <v>3158</v>
      </c>
      <c r="F356" s="17" t="s">
        <v>3159</v>
      </c>
      <c r="G356" s="24"/>
      <c r="H356" s="24"/>
      <c r="I356" s="19" t="s">
        <v>1783</v>
      </c>
      <c r="J356" s="19" t="s">
        <v>95</v>
      </c>
      <c r="K356" s="24"/>
      <c r="L356" s="20" t="str">
        <f t="shared" si="10"/>
        <v/>
      </c>
      <c r="M356" s="21">
        <f t="shared" si="11"/>
        <v>12</v>
      </c>
    </row>
    <row r="357" spans="1:13" ht="15" customHeight="1">
      <c r="A357" s="17" t="s">
        <v>3160</v>
      </c>
      <c r="B357" s="17">
        <v>6</v>
      </c>
      <c r="C357" s="17" t="s">
        <v>264</v>
      </c>
      <c r="D357" s="17" t="s">
        <v>3161</v>
      </c>
      <c r="E357" s="18" t="s">
        <v>3162</v>
      </c>
      <c r="F357" s="17" t="s">
        <v>3163</v>
      </c>
      <c r="G357" s="24"/>
      <c r="H357" s="24"/>
      <c r="I357" s="19" t="s">
        <v>1783</v>
      </c>
      <c r="J357" s="19" t="s">
        <v>95</v>
      </c>
      <c r="K357" s="24"/>
      <c r="L357" s="20" t="str">
        <f t="shared" si="10"/>
        <v/>
      </c>
      <c r="M357" s="21">
        <f t="shared" si="11"/>
        <v>7</v>
      </c>
    </row>
    <row r="358" spans="1:13" ht="15" customHeight="1">
      <c r="A358" s="17" t="s">
        <v>3164</v>
      </c>
      <c r="B358" s="17">
        <v>6</v>
      </c>
      <c r="C358" s="17" t="s">
        <v>264</v>
      </c>
      <c r="D358" s="17" t="s">
        <v>3165</v>
      </c>
      <c r="E358" s="18" t="s">
        <v>3166</v>
      </c>
      <c r="F358" s="17" t="s">
        <v>3167</v>
      </c>
      <c r="G358" s="24"/>
      <c r="H358" s="24"/>
      <c r="I358" s="19" t="s">
        <v>1783</v>
      </c>
      <c r="J358" s="19" t="s">
        <v>95</v>
      </c>
      <c r="K358" s="24"/>
      <c r="L358" s="20" t="str">
        <f t="shared" si="10"/>
        <v/>
      </c>
      <c r="M358" s="21">
        <f t="shared" si="11"/>
        <v>7</v>
      </c>
    </row>
    <row r="359" spans="1:13" ht="15" customHeight="1">
      <c r="A359" s="17" t="s">
        <v>3168</v>
      </c>
      <c r="B359" s="17">
        <v>6</v>
      </c>
      <c r="C359" s="17" t="s">
        <v>264</v>
      </c>
      <c r="D359" s="17" t="s">
        <v>3169</v>
      </c>
      <c r="E359" s="18" t="s">
        <v>3170</v>
      </c>
      <c r="F359" s="17" t="s">
        <v>3171</v>
      </c>
      <c r="G359" s="24"/>
      <c r="H359" s="24"/>
      <c r="I359" s="19" t="s">
        <v>1783</v>
      </c>
      <c r="J359" s="19" t="s">
        <v>95</v>
      </c>
      <c r="K359" s="24"/>
      <c r="L359" s="20" t="str">
        <f t="shared" si="10"/>
        <v/>
      </c>
      <c r="M359" s="21">
        <f t="shared" si="11"/>
        <v>11</v>
      </c>
    </row>
    <row r="360" spans="1:13" ht="15" customHeight="1">
      <c r="A360" s="17" t="s">
        <v>3172</v>
      </c>
      <c r="B360" s="17">
        <v>6</v>
      </c>
      <c r="C360" s="17" t="s">
        <v>264</v>
      </c>
      <c r="D360" s="17" t="s">
        <v>3173</v>
      </c>
      <c r="E360" s="18" t="s">
        <v>3174</v>
      </c>
      <c r="F360" s="17" t="s">
        <v>1649</v>
      </c>
      <c r="G360" s="24"/>
      <c r="H360" s="24"/>
      <c r="I360" s="19" t="s">
        <v>1783</v>
      </c>
      <c r="J360" s="19" t="s">
        <v>95</v>
      </c>
      <c r="K360" s="24"/>
      <c r="L360" s="20" t="str">
        <f t="shared" si="10"/>
        <v/>
      </c>
      <c r="M360" s="21">
        <f t="shared" si="11"/>
        <v>8</v>
      </c>
    </row>
    <row r="361" spans="1:13" ht="15" customHeight="1">
      <c r="A361" s="17" t="s">
        <v>3175</v>
      </c>
      <c r="B361" s="17">
        <v>6</v>
      </c>
      <c r="C361" s="17" t="s">
        <v>264</v>
      </c>
      <c r="D361" s="17" t="s">
        <v>3176</v>
      </c>
      <c r="E361" s="18" t="s">
        <v>3177</v>
      </c>
      <c r="F361" s="17" t="s">
        <v>3178</v>
      </c>
      <c r="G361" s="24"/>
      <c r="H361" s="24"/>
      <c r="I361" s="19" t="s">
        <v>1783</v>
      </c>
      <c r="J361" s="19" t="s">
        <v>95</v>
      </c>
      <c r="K361" s="24"/>
      <c r="L361" s="20" t="str">
        <f t="shared" si="10"/>
        <v/>
      </c>
      <c r="M361" s="21">
        <f t="shared" si="11"/>
        <v>10</v>
      </c>
    </row>
    <row r="362" spans="1:13" ht="15" customHeight="1">
      <c r="A362" s="17" t="s">
        <v>3179</v>
      </c>
      <c r="B362" s="17">
        <v>3</v>
      </c>
      <c r="C362" s="17" t="s">
        <v>277</v>
      </c>
      <c r="D362" s="17" t="s">
        <v>3180</v>
      </c>
      <c r="E362" s="18" t="s">
        <v>3181</v>
      </c>
      <c r="F362" s="17" t="s">
        <v>3182</v>
      </c>
      <c r="G362" s="24"/>
      <c r="H362" s="24"/>
      <c r="I362" s="19" t="s">
        <v>1783</v>
      </c>
      <c r="J362" s="19" t="s">
        <v>95</v>
      </c>
      <c r="K362" s="24"/>
      <c r="L362" s="20" t="str">
        <f t="shared" si="10"/>
        <v/>
      </c>
      <c r="M362" s="21">
        <f t="shared" si="11"/>
        <v>3</v>
      </c>
    </row>
    <row r="363" spans="1:13" ht="15" customHeight="1">
      <c r="A363" s="17" t="s">
        <v>3183</v>
      </c>
      <c r="B363" s="17">
        <v>3</v>
      </c>
      <c r="C363" s="17" t="s">
        <v>277</v>
      </c>
      <c r="D363" s="17" t="s">
        <v>3184</v>
      </c>
      <c r="E363" s="18" t="s">
        <v>3185</v>
      </c>
      <c r="F363" s="17" t="s">
        <v>1658</v>
      </c>
      <c r="G363" s="24"/>
      <c r="H363" s="24"/>
      <c r="I363" s="19" t="s">
        <v>1783</v>
      </c>
      <c r="J363" s="19" t="s">
        <v>95</v>
      </c>
      <c r="K363" s="24"/>
      <c r="L363" s="20" t="str">
        <f t="shared" si="10"/>
        <v/>
      </c>
      <c r="M363" s="21">
        <f t="shared" si="11"/>
        <v>4</v>
      </c>
    </row>
    <row r="364" spans="1:13" ht="15" customHeight="1">
      <c r="A364" s="17" t="s">
        <v>3186</v>
      </c>
      <c r="B364" s="17">
        <v>3</v>
      </c>
      <c r="C364" s="17" t="s">
        <v>277</v>
      </c>
      <c r="D364" s="17" t="s">
        <v>3187</v>
      </c>
      <c r="E364" s="18" t="s">
        <v>3188</v>
      </c>
      <c r="F364" s="17" t="s">
        <v>3189</v>
      </c>
      <c r="G364" s="24"/>
      <c r="H364" s="24"/>
      <c r="I364" s="19" t="s">
        <v>1783</v>
      </c>
      <c r="J364" s="19" t="s">
        <v>95</v>
      </c>
      <c r="K364" s="24"/>
      <c r="L364" s="20" t="str">
        <f t="shared" si="10"/>
        <v/>
      </c>
      <c r="M364" s="21">
        <f t="shared" si="11"/>
        <v>5</v>
      </c>
    </row>
    <row r="365" spans="1:13" ht="15" customHeight="1">
      <c r="A365" s="17" t="s">
        <v>3190</v>
      </c>
      <c r="B365" s="17">
        <v>3</v>
      </c>
      <c r="C365" s="17" t="s">
        <v>277</v>
      </c>
      <c r="D365" s="17" t="s">
        <v>3191</v>
      </c>
      <c r="E365" s="18" t="s">
        <v>3192</v>
      </c>
      <c r="F365" s="17" t="s">
        <v>3193</v>
      </c>
      <c r="G365" s="24"/>
      <c r="H365" s="24"/>
      <c r="I365" s="19" t="s">
        <v>1783</v>
      </c>
      <c r="J365" s="19" t="s">
        <v>95</v>
      </c>
      <c r="K365" s="24"/>
      <c r="L365" s="20" t="str">
        <f t="shared" si="10"/>
        <v/>
      </c>
      <c r="M365" s="21">
        <f t="shared" si="11"/>
        <v>5</v>
      </c>
    </row>
    <row r="366" spans="1:13" ht="15" customHeight="1">
      <c r="A366" s="17" t="s">
        <v>3194</v>
      </c>
      <c r="B366" s="17">
        <v>3</v>
      </c>
      <c r="C366" s="17" t="s">
        <v>277</v>
      </c>
      <c r="D366" s="17" t="s">
        <v>3195</v>
      </c>
      <c r="E366" s="18" t="s">
        <v>3196</v>
      </c>
      <c r="F366" s="17" t="s">
        <v>3197</v>
      </c>
      <c r="G366" s="24"/>
      <c r="H366" s="24"/>
      <c r="I366" s="19" t="s">
        <v>1783</v>
      </c>
      <c r="J366" s="19" t="s">
        <v>95</v>
      </c>
      <c r="K366" s="24"/>
      <c r="L366" s="20" t="str">
        <f t="shared" si="10"/>
        <v/>
      </c>
      <c r="M366" s="21">
        <f t="shared" si="11"/>
        <v>4</v>
      </c>
    </row>
    <row r="367" spans="1:13" ht="15" customHeight="1">
      <c r="A367" s="17" t="s">
        <v>3198</v>
      </c>
      <c r="B367" s="17">
        <v>4</v>
      </c>
      <c r="C367" s="17" t="s">
        <v>277</v>
      </c>
      <c r="D367" s="17" t="s">
        <v>3199</v>
      </c>
      <c r="E367" s="18" t="s">
        <v>3200</v>
      </c>
      <c r="F367" s="17" t="s">
        <v>3201</v>
      </c>
      <c r="G367" s="24"/>
      <c r="H367" s="24"/>
      <c r="I367" s="19" t="s">
        <v>1783</v>
      </c>
      <c r="J367" s="19" t="s">
        <v>95</v>
      </c>
      <c r="K367" s="24"/>
      <c r="L367" s="20" t="str">
        <f t="shared" si="10"/>
        <v/>
      </c>
      <c r="M367" s="21">
        <f t="shared" si="11"/>
        <v>4</v>
      </c>
    </row>
    <row r="368" spans="1:13" ht="15" customHeight="1">
      <c r="A368" s="17" t="s">
        <v>3202</v>
      </c>
      <c r="B368" s="17">
        <v>4</v>
      </c>
      <c r="C368" s="17" t="s">
        <v>277</v>
      </c>
      <c r="D368" s="17" t="s">
        <v>3203</v>
      </c>
      <c r="E368" s="18" t="s">
        <v>3204</v>
      </c>
      <c r="F368" s="17" t="s">
        <v>3205</v>
      </c>
      <c r="G368" s="24"/>
      <c r="H368" s="24"/>
      <c r="I368" s="19" t="s">
        <v>1783</v>
      </c>
      <c r="J368" s="19" t="s">
        <v>95</v>
      </c>
      <c r="K368" s="24"/>
      <c r="L368" s="20" t="str">
        <f t="shared" si="10"/>
        <v/>
      </c>
      <c r="M368" s="21">
        <f t="shared" si="11"/>
        <v>4</v>
      </c>
    </row>
    <row r="369" spans="1:13" ht="15" customHeight="1">
      <c r="A369" s="17" t="s">
        <v>3206</v>
      </c>
      <c r="B369" s="17">
        <v>4</v>
      </c>
      <c r="C369" s="17" t="s">
        <v>277</v>
      </c>
      <c r="D369" s="17" t="s">
        <v>3207</v>
      </c>
      <c r="E369" s="18" t="s">
        <v>3208</v>
      </c>
      <c r="F369" s="17" t="s">
        <v>3209</v>
      </c>
      <c r="G369" s="24"/>
      <c r="H369" s="24"/>
      <c r="I369" s="19" t="s">
        <v>1783</v>
      </c>
      <c r="J369" s="19" t="s">
        <v>95</v>
      </c>
      <c r="K369" s="24"/>
      <c r="L369" s="20" t="str">
        <f t="shared" si="10"/>
        <v/>
      </c>
      <c r="M369" s="21">
        <f t="shared" si="11"/>
        <v>4</v>
      </c>
    </row>
    <row r="370" spans="1:13" ht="15" customHeight="1">
      <c r="A370" s="17" t="s">
        <v>3210</v>
      </c>
      <c r="B370" s="17">
        <v>4</v>
      </c>
      <c r="C370" s="17" t="s">
        <v>277</v>
      </c>
      <c r="D370" s="17" t="s">
        <v>3211</v>
      </c>
      <c r="E370" s="18" t="s">
        <v>3212</v>
      </c>
      <c r="F370" s="17" t="s">
        <v>3213</v>
      </c>
      <c r="G370" s="24"/>
      <c r="H370" s="24"/>
      <c r="I370" s="19" t="s">
        <v>1783</v>
      </c>
      <c r="J370" s="19" t="s">
        <v>95</v>
      </c>
      <c r="K370" s="24"/>
      <c r="L370" s="20" t="str">
        <f t="shared" si="10"/>
        <v/>
      </c>
      <c r="M370" s="21">
        <f t="shared" si="11"/>
        <v>7</v>
      </c>
    </row>
    <row r="371" spans="1:13" ht="15" customHeight="1">
      <c r="A371" s="17" t="s">
        <v>3214</v>
      </c>
      <c r="B371" s="17">
        <v>4</v>
      </c>
      <c r="C371" s="17" t="s">
        <v>277</v>
      </c>
      <c r="D371" s="17" t="s">
        <v>3215</v>
      </c>
      <c r="E371" s="18" t="s">
        <v>3216</v>
      </c>
      <c r="F371" s="17" t="s">
        <v>3217</v>
      </c>
      <c r="G371" s="24"/>
      <c r="H371" s="24"/>
      <c r="I371" s="19" t="s">
        <v>1783</v>
      </c>
      <c r="J371" s="19" t="s">
        <v>95</v>
      </c>
      <c r="K371" s="24"/>
      <c r="L371" s="20" t="str">
        <f t="shared" si="10"/>
        <v/>
      </c>
      <c r="M371" s="21">
        <f t="shared" si="11"/>
        <v>8</v>
      </c>
    </row>
    <row r="372" spans="1:13" ht="15" customHeight="1">
      <c r="A372" s="17" t="s">
        <v>3218</v>
      </c>
      <c r="B372" s="17">
        <v>5</v>
      </c>
      <c r="C372" s="17" t="s">
        <v>277</v>
      </c>
      <c r="D372" s="17" t="s">
        <v>3219</v>
      </c>
      <c r="E372" s="18" t="s">
        <v>3220</v>
      </c>
      <c r="F372" s="17" t="s">
        <v>3221</v>
      </c>
      <c r="G372" s="24"/>
      <c r="H372" s="24"/>
      <c r="I372" s="19" t="s">
        <v>1783</v>
      </c>
      <c r="J372" s="19" t="s">
        <v>95</v>
      </c>
      <c r="K372" s="24"/>
      <c r="L372" s="20" t="str">
        <f t="shared" si="10"/>
        <v/>
      </c>
      <c r="M372" s="21">
        <f t="shared" si="11"/>
        <v>8</v>
      </c>
    </row>
    <row r="373" spans="1:13" ht="15" customHeight="1">
      <c r="A373" s="17" t="s">
        <v>3222</v>
      </c>
      <c r="B373" s="17">
        <v>5</v>
      </c>
      <c r="C373" s="17" t="s">
        <v>277</v>
      </c>
      <c r="D373" s="17" t="s">
        <v>3223</v>
      </c>
      <c r="E373" s="18" t="s">
        <v>3224</v>
      </c>
      <c r="F373" s="17" t="s">
        <v>3225</v>
      </c>
      <c r="G373" s="24"/>
      <c r="H373" s="24"/>
      <c r="I373" s="19" t="s">
        <v>1783</v>
      </c>
      <c r="J373" s="19" t="s">
        <v>95</v>
      </c>
      <c r="K373" s="24"/>
      <c r="L373" s="20" t="str">
        <f t="shared" si="10"/>
        <v/>
      </c>
      <c r="M373" s="21">
        <f t="shared" si="11"/>
        <v>7</v>
      </c>
    </row>
    <row r="374" spans="1:13" ht="15" customHeight="1">
      <c r="A374" s="17" t="s">
        <v>3226</v>
      </c>
      <c r="B374" s="17">
        <v>5</v>
      </c>
      <c r="C374" s="17" t="s">
        <v>277</v>
      </c>
      <c r="D374" s="17" t="s">
        <v>3227</v>
      </c>
      <c r="E374" s="18" t="s">
        <v>3228</v>
      </c>
      <c r="F374" s="17" t="s">
        <v>3229</v>
      </c>
      <c r="G374" s="24"/>
      <c r="H374" s="24"/>
      <c r="I374" s="19" t="s">
        <v>1783</v>
      </c>
      <c r="J374" s="19" t="s">
        <v>95</v>
      </c>
      <c r="K374" s="24"/>
      <c r="L374" s="20" t="str">
        <f t="shared" si="10"/>
        <v/>
      </c>
      <c r="M374" s="21">
        <f t="shared" si="11"/>
        <v>4</v>
      </c>
    </row>
    <row r="375" spans="1:13" ht="15" customHeight="1">
      <c r="A375" s="17" t="s">
        <v>3230</v>
      </c>
      <c r="B375" s="17">
        <v>5</v>
      </c>
      <c r="C375" s="17" t="s">
        <v>277</v>
      </c>
      <c r="D375" s="17" t="s">
        <v>3231</v>
      </c>
      <c r="E375" s="18" t="s">
        <v>3232</v>
      </c>
      <c r="F375" s="17" t="s">
        <v>3233</v>
      </c>
      <c r="G375" s="24"/>
      <c r="H375" s="24"/>
      <c r="I375" s="19" t="s">
        <v>1783</v>
      </c>
      <c r="J375" s="19" t="s">
        <v>95</v>
      </c>
      <c r="K375" s="24"/>
      <c r="L375" s="20" t="str">
        <f t="shared" si="10"/>
        <v/>
      </c>
      <c r="M375" s="21">
        <f t="shared" si="11"/>
        <v>4</v>
      </c>
    </row>
    <row r="376" spans="1:13" ht="15" customHeight="1">
      <c r="A376" s="17" t="s">
        <v>3234</v>
      </c>
      <c r="B376" s="17">
        <v>5</v>
      </c>
      <c r="C376" s="17" t="s">
        <v>277</v>
      </c>
      <c r="D376" s="17" t="s">
        <v>3235</v>
      </c>
      <c r="E376" s="18" t="s">
        <v>3236</v>
      </c>
      <c r="F376" s="17" t="s">
        <v>3237</v>
      </c>
      <c r="G376" s="24"/>
      <c r="H376" s="24"/>
      <c r="I376" s="19" t="s">
        <v>1783</v>
      </c>
      <c r="J376" s="19" t="s">
        <v>95</v>
      </c>
      <c r="K376" s="24"/>
      <c r="L376" s="20" t="str">
        <f t="shared" si="10"/>
        <v/>
      </c>
      <c r="M376" s="21">
        <f t="shared" si="11"/>
        <v>7</v>
      </c>
    </row>
    <row r="377" spans="1:13" ht="15" customHeight="1">
      <c r="A377" s="17" t="s">
        <v>3238</v>
      </c>
      <c r="B377" s="17">
        <v>6</v>
      </c>
      <c r="C377" s="17" t="s">
        <v>277</v>
      </c>
      <c r="D377" s="17" t="s">
        <v>3239</v>
      </c>
      <c r="E377" s="18" t="s">
        <v>3240</v>
      </c>
      <c r="F377" s="17" t="s">
        <v>3241</v>
      </c>
      <c r="G377" s="24"/>
      <c r="H377" s="24"/>
      <c r="I377" s="19" t="s">
        <v>1783</v>
      </c>
      <c r="J377" s="19" t="s">
        <v>95</v>
      </c>
      <c r="K377" s="24"/>
      <c r="L377" s="20" t="str">
        <f t="shared" si="10"/>
        <v/>
      </c>
      <c r="M377" s="21">
        <f t="shared" si="11"/>
        <v>6</v>
      </c>
    </row>
    <row r="378" spans="1:13" ht="15" customHeight="1">
      <c r="A378" s="17" t="s">
        <v>3242</v>
      </c>
      <c r="B378" s="17">
        <v>6</v>
      </c>
      <c r="C378" s="17" t="s">
        <v>277</v>
      </c>
      <c r="D378" s="17" t="s">
        <v>3243</v>
      </c>
      <c r="E378" s="18" t="s">
        <v>3244</v>
      </c>
      <c r="F378" s="17" t="s">
        <v>3245</v>
      </c>
      <c r="G378" s="24"/>
      <c r="H378" s="24"/>
      <c r="I378" s="19" t="s">
        <v>1783</v>
      </c>
      <c r="J378" s="19" t="s">
        <v>95</v>
      </c>
      <c r="K378" s="24"/>
      <c r="L378" s="20" t="str">
        <f t="shared" si="10"/>
        <v/>
      </c>
      <c r="M378" s="21">
        <f t="shared" si="11"/>
        <v>7</v>
      </c>
    </row>
    <row r="379" spans="1:13" ht="15" customHeight="1">
      <c r="A379" s="17" t="s">
        <v>3246</v>
      </c>
      <c r="B379" s="17">
        <v>6</v>
      </c>
      <c r="C379" s="17" t="s">
        <v>277</v>
      </c>
      <c r="D379" s="17" t="s">
        <v>3247</v>
      </c>
      <c r="E379" s="18" t="s">
        <v>3248</v>
      </c>
      <c r="F379" s="17" t="s">
        <v>3249</v>
      </c>
      <c r="G379" s="24"/>
      <c r="H379" s="24"/>
      <c r="I379" s="19" t="s">
        <v>1783</v>
      </c>
      <c r="J379" s="19" t="s">
        <v>95</v>
      </c>
      <c r="K379" s="24"/>
      <c r="L379" s="20" t="str">
        <f t="shared" si="10"/>
        <v/>
      </c>
      <c r="M379" s="21">
        <f t="shared" si="11"/>
        <v>6</v>
      </c>
    </row>
    <row r="380" spans="1:13" ht="15" customHeight="1">
      <c r="A380" s="17" t="s">
        <v>3250</v>
      </c>
      <c r="B380" s="17">
        <v>6</v>
      </c>
      <c r="C380" s="17" t="s">
        <v>277</v>
      </c>
      <c r="D380" s="17" t="s">
        <v>3251</v>
      </c>
      <c r="E380" s="18" t="s">
        <v>3252</v>
      </c>
      <c r="F380" s="17" t="s">
        <v>3253</v>
      </c>
      <c r="G380" s="24"/>
      <c r="H380" s="24"/>
      <c r="I380" s="19" t="s">
        <v>1783</v>
      </c>
      <c r="J380" s="19" t="s">
        <v>95</v>
      </c>
      <c r="K380" s="24"/>
      <c r="L380" s="20" t="str">
        <f t="shared" si="10"/>
        <v/>
      </c>
      <c r="M380" s="21">
        <f t="shared" si="11"/>
        <v>8</v>
      </c>
    </row>
    <row r="381" spans="1:13" ht="15" customHeight="1">
      <c r="A381" s="17" t="s">
        <v>3254</v>
      </c>
      <c r="B381" s="17">
        <v>6</v>
      </c>
      <c r="C381" s="17" t="s">
        <v>277</v>
      </c>
      <c r="D381" s="17" t="s">
        <v>3255</v>
      </c>
      <c r="E381" s="18" t="s">
        <v>3256</v>
      </c>
      <c r="F381" s="17" t="s">
        <v>3257</v>
      </c>
      <c r="G381" s="24"/>
      <c r="H381" s="24"/>
      <c r="I381" s="19" t="s">
        <v>1783</v>
      </c>
      <c r="J381" s="19" t="s">
        <v>95</v>
      </c>
      <c r="K381" s="24"/>
      <c r="L381" s="20" t="str">
        <f t="shared" si="10"/>
        <v/>
      </c>
      <c r="M381" s="21">
        <f t="shared" si="11"/>
        <v>8</v>
      </c>
    </row>
    <row r="382" spans="1:13" ht="15" customHeight="1">
      <c r="A382" s="17" t="s">
        <v>3258</v>
      </c>
      <c r="B382" s="17">
        <v>3</v>
      </c>
      <c r="C382" s="17" t="s">
        <v>284</v>
      </c>
      <c r="D382" s="17" t="s">
        <v>3259</v>
      </c>
      <c r="E382" s="18" t="s">
        <v>2946</v>
      </c>
      <c r="F382" s="17" t="s">
        <v>3260</v>
      </c>
      <c r="G382" s="24"/>
      <c r="H382" s="24"/>
      <c r="I382" s="19" t="s">
        <v>1783</v>
      </c>
      <c r="J382" s="19" t="s">
        <v>95</v>
      </c>
      <c r="K382" s="24"/>
      <c r="L382" s="20" t="str">
        <f t="shared" si="10"/>
        <v/>
      </c>
      <c r="M382" s="21">
        <f t="shared" si="11"/>
        <v>5</v>
      </c>
    </row>
    <row r="383" spans="1:13" ht="15" customHeight="1">
      <c r="A383" s="17" t="s">
        <v>3261</v>
      </c>
      <c r="B383" s="17">
        <v>3</v>
      </c>
      <c r="C383" s="17" t="s">
        <v>284</v>
      </c>
      <c r="D383" s="17" t="s">
        <v>3262</v>
      </c>
      <c r="E383" s="18" t="s">
        <v>3263</v>
      </c>
      <c r="F383" s="17" t="s">
        <v>3264</v>
      </c>
      <c r="G383" s="24"/>
      <c r="H383" s="24"/>
      <c r="I383" s="19" t="s">
        <v>1783</v>
      </c>
      <c r="J383" s="19" t="s">
        <v>95</v>
      </c>
      <c r="K383" s="24"/>
      <c r="L383" s="20" t="str">
        <f t="shared" si="10"/>
        <v/>
      </c>
      <c r="M383" s="21">
        <f t="shared" si="11"/>
        <v>4</v>
      </c>
    </row>
    <row r="384" spans="1:13" ht="15" customHeight="1">
      <c r="A384" s="17" t="s">
        <v>3265</v>
      </c>
      <c r="B384" s="17">
        <v>3</v>
      </c>
      <c r="C384" s="17" t="s">
        <v>284</v>
      </c>
      <c r="D384" s="17" t="s">
        <v>3266</v>
      </c>
      <c r="E384" s="18" t="s">
        <v>3267</v>
      </c>
      <c r="F384" s="17" t="s">
        <v>3268</v>
      </c>
      <c r="G384" s="24"/>
      <c r="H384" s="24"/>
      <c r="I384" s="19" t="s">
        <v>1783</v>
      </c>
      <c r="J384" s="19" t="s">
        <v>95</v>
      </c>
      <c r="K384" s="24"/>
      <c r="L384" s="20" t="str">
        <f t="shared" si="10"/>
        <v/>
      </c>
      <c r="M384" s="21">
        <f t="shared" si="11"/>
        <v>3</v>
      </c>
    </row>
    <row r="385" spans="1:13" ht="15" customHeight="1">
      <c r="A385" s="17" t="s">
        <v>3269</v>
      </c>
      <c r="B385" s="17">
        <v>3</v>
      </c>
      <c r="C385" s="17" t="s">
        <v>284</v>
      </c>
      <c r="D385" s="17" t="s">
        <v>3270</v>
      </c>
      <c r="E385" s="18" t="s">
        <v>3271</v>
      </c>
      <c r="F385" s="17" t="s">
        <v>3272</v>
      </c>
      <c r="G385" s="24"/>
      <c r="H385" s="24"/>
      <c r="I385" s="19" t="s">
        <v>1783</v>
      </c>
      <c r="J385" s="19" t="s">
        <v>95</v>
      </c>
      <c r="K385" s="24"/>
      <c r="L385" s="20" t="str">
        <f t="shared" si="10"/>
        <v/>
      </c>
      <c r="M385" s="21">
        <f t="shared" si="11"/>
        <v>5</v>
      </c>
    </row>
    <row r="386" spans="1:13" ht="15" customHeight="1">
      <c r="A386" s="17" t="s">
        <v>3273</v>
      </c>
      <c r="B386" s="17">
        <v>3</v>
      </c>
      <c r="C386" s="17" t="s">
        <v>284</v>
      </c>
      <c r="D386" s="17" t="s">
        <v>3274</v>
      </c>
      <c r="E386" s="18" t="s">
        <v>3275</v>
      </c>
      <c r="F386" s="17" t="s">
        <v>3276</v>
      </c>
      <c r="G386" s="24"/>
      <c r="H386" s="24"/>
      <c r="I386" s="19" t="s">
        <v>1783</v>
      </c>
      <c r="J386" s="19" t="s">
        <v>95</v>
      </c>
      <c r="K386" s="24"/>
      <c r="L386" s="20" t="str">
        <f t="shared" ref="L386:L401" si="12">IF(A386="","",IF(COUNTIF($A$2:$A$401,A386)&gt;1,"중복",""))</f>
        <v/>
      </c>
      <c r="M386" s="21">
        <f t="shared" ref="M386:M401" si="13">IF(D386="","",LEN(D386))</f>
        <v>4</v>
      </c>
    </row>
    <row r="387" spans="1:13" ht="15" customHeight="1">
      <c r="A387" s="17" t="s">
        <v>3277</v>
      </c>
      <c r="B387" s="17">
        <v>4</v>
      </c>
      <c r="C387" s="17" t="s">
        <v>284</v>
      </c>
      <c r="D387" s="17" t="s">
        <v>3278</v>
      </c>
      <c r="E387" s="18" t="s">
        <v>3279</v>
      </c>
      <c r="F387" s="17" t="s">
        <v>3280</v>
      </c>
      <c r="G387" s="24"/>
      <c r="H387" s="24"/>
      <c r="I387" s="19" t="s">
        <v>1783</v>
      </c>
      <c r="J387" s="19" t="s">
        <v>95</v>
      </c>
      <c r="K387" s="24"/>
      <c r="L387" s="20" t="str">
        <f t="shared" si="12"/>
        <v/>
      </c>
      <c r="M387" s="21">
        <f t="shared" si="13"/>
        <v>7</v>
      </c>
    </row>
    <row r="388" spans="1:13" ht="15" customHeight="1">
      <c r="A388" s="17" t="s">
        <v>3281</v>
      </c>
      <c r="B388" s="17">
        <v>4</v>
      </c>
      <c r="C388" s="17" t="s">
        <v>284</v>
      </c>
      <c r="D388" s="17" t="s">
        <v>3282</v>
      </c>
      <c r="E388" s="18" t="s">
        <v>3283</v>
      </c>
      <c r="F388" s="17" t="s">
        <v>3284</v>
      </c>
      <c r="G388" s="24"/>
      <c r="H388" s="24"/>
      <c r="I388" s="19" t="s">
        <v>1783</v>
      </c>
      <c r="J388" s="19" t="s">
        <v>95</v>
      </c>
      <c r="K388" s="24"/>
      <c r="L388" s="20" t="str">
        <f t="shared" si="12"/>
        <v/>
      </c>
      <c r="M388" s="21">
        <f t="shared" si="13"/>
        <v>8</v>
      </c>
    </row>
    <row r="389" spans="1:13" ht="15" customHeight="1">
      <c r="A389" s="17" t="s">
        <v>3285</v>
      </c>
      <c r="B389" s="17">
        <v>4</v>
      </c>
      <c r="C389" s="17" t="s">
        <v>284</v>
      </c>
      <c r="D389" s="17" t="s">
        <v>3286</v>
      </c>
      <c r="E389" s="18" t="s">
        <v>3287</v>
      </c>
      <c r="F389" s="17" t="s">
        <v>3288</v>
      </c>
      <c r="G389" s="24"/>
      <c r="H389" s="24"/>
      <c r="I389" s="19" t="s">
        <v>1783</v>
      </c>
      <c r="J389" s="19" t="s">
        <v>95</v>
      </c>
      <c r="K389" s="24"/>
      <c r="L389" s="20" t="str">
        <f t="shared" si="12"/>
        <v/>
      </c>
      <c r="M389" s="21">
        <f t="shared" si="13"/>
        <v>6</v>
      </c>
    </row>
    <row r="390" spans="1:13" ht="15" customHeight="1">
      <c r="A390" s="17" t="s">
        <v>3289</v>
      </c>
      <c r="B390" s="17">
        <v>4</v>
      </c>
      <c r="C390" s="17" t="s">
        <v>284</v>
      </c>
      <c r="D390" s="17" t="s">
        <v>3290</v>
      </c>
      <c r="E390" s="18" t="s">
        <v>3291</v>
      </c>
      <c r="F390" s="17" t="s">
        <v>3292</v>
      </c>
      <c r="G390" s="24"/>
      <c r="H390" s="24"/>
      <c r="I390" s="19" t="s">
        <v>1783</v>
      </c>
      <c r="J390" s="19" t="s">
        <v>95</v>
      </c>
      <c r="K390" s="24"/>
      <c r="L390" s="20" t="str">
        <f t="shared" si="12"/>
        <v/>
      </c>
      <c r="M390" s="21">
        <f t="shared" si="13"/>
        <v>4</v>
      </c>
    </row>
    <row r="391" spans="1:13" ht="15" customHeight="1">
      <c r="A391" s="17" t="s">
        <v>3293</v>
      </c>
      <c r="B391" s="17">
        <v>4</v>
      </c>
      <c r="C391" s="17" t="s">
        <v>284</v>
      </c>
      <c r="D391" s="17" t="s">
        <v>3294</v>
      </c>
      <c r="E391" s="18" t="s">
        <v>3295</v>
      </c>
      <c r="F391" s="17" t="s">
        <v>3296</v>
      </c>
      <c r="G391" s="24"/>
      <c r="H391" s="24"/>
      <c r="I391" s="19" t="s">
        <v>1783</v>
      </c>
      <c r="J391" s="19" t="s">
        <v>95</v>
      </c>
      <c r="K391" s="24"/>
      <c r="L391" s="20" t="str">
        <f t="shared" si="12"/>
        <v/>
      </c>
      <c r="M391" s="21">
        <f t="shared" si="13"/>
        <v>4</v>
      </c>
    </row>
    <row r="392" spans="1:13" ht="15" customHeight="1">
      <c r="A392" s="17" t="s">
        <v>3297</v>
      </c>
      <c r="B392" s="17">
        <v>5</v>
      </c>
      <c r="C392" s="17" t="s">
        <v>284</v>
      </c>
      <c r="D392" s="17" t="s">
        <v>3298</v>
      </c>
      <c r="E392" s="18" t="s">
        <v>3299</v>
      </c>
      <c r="F392" s="17" t="s">
        <v>3300</v>
      </c>
      <c r="G392" s="24"/>
      <c r="H392" s="24"/>
      <c r="I392" s="19" t="s">
        <v>1783</v>
      </c>
      <c r="J392" s="19" t="s">
        <v>95</v>
      </c>
      <c r="K392" s="24"/>
      <c r="L392" s="20" t="str">
        <f t="shared" si="12"/>
        <v/>
      </c>
      <c r="M392" s="21">
        <f t="shared" si="13"/>
        <v>9</v>
      </c>
    </row>
    <row r="393" spans="1:13" ht="15" customHeight="1">
      <c r="A393" s="17" t="s">
        <v>3301</v>
      </c>
      <c r="B393" s="17">
        <v>5</v>
      </c>
      <c r="C393" s="17" t="s">
        <v>284</v>
      </c>
      <c r="D393" s="17" t="s">
        <v>3302</v>
      </c>
      <c r="E393" s="18" t="s">
        <v>3303</v>
      </c>
      <c r="F393" s="17" t="s">
        <v>1748</v>
      </c>
      <c r="G393" s="24"/>
      <c r="H393" s="24"/>
      <c r="I393" s="19" t="s">
        <v>1783</v>
      </c>
      <c r="J393" s="19" t="s">
        <v>95</v>
      </c>
      <c r="K393" s="24"/>
      <c r="L393" s="20" t="str">
        <f t="shared" si="12"/>
        <v/>
      </c>
      <c r="M393" s="21">
        <f t="shared" si="13"/>
        <v>6</v>
      </c>
    </row>
    <row r="394" spans="1:13" ht="15" customHeight="1">
      <c r="A394" s="17" t="s">
        <v>3304</v>
      </c>
      <c r="B394" s="17">
        <v>5</v>
      </c>
      <c r="C394" s="17" t="s">
        <v>284</v>
      </c>
      <c r="D394" s="17" t="s">
        <v>3305</v>
      </c>
      <c r="E394" s="18" t="s">
        <v>3306</v>
      </c>
      <c r="F394" s="17" t="s">
        <v>3307</v>
      </c>
      <c r="G394" s="24"/>
      <c r="H394" s="24"/>
      <c r="I394" s="19" t="s">
        <v>1783</v>
      </c>
      <c r="J394" s="19" t="s">
        <v>95</v>
      </c>
      <c r="K394" s="24"/>
      <c r="L394" s="20" t="str">
        <f t="shared" si="12"/>
        <v/>
      </c>
      <c r="M394" s="21">
        <f t="shared" si="13"/>
        <v>4</v>
      </c>
    </row>
    <row r="395" spans="1:13" ht="15" customHeight="1">
      <c r="A395" s="17" t="s">
        <v>3308</v>
      </c>
      <c r="B395" s="17">
        <v>5</v>
      </c>
      <c r="C395" s="17" t="s">
        <v>284</v>
      </c>
      <c r="D395" s="17" t="s">
        <v>3309</v>
      </c>
      <c r="E395" s="18" t="s">
        <v>3310</v>
      </c>
      <c r="F395" s="17" t="s">
        <v>1754</v>
      </c>
      <c r="G395" s="24"/>
      <c r="H395" s="24"/>
      <c r="I395" s="19" t="s">
        <v>1783</v>
      </c>
      <c r="J395" s="19" t="s">
        <v>95</v>
      </c>
      <c r="K395" s="24"/>
      <c r="L395" s="20" t="str">
        <f t="shared" si="12"/>
        <v/>
      </c>
      <c r="M395" s="21">
        <f t="shared" si="13"/>
        <v>7</v>
      </c>
    </row>
    <row r="396" spans="1:13" ht="15" customHeight="1">
      <c r="A396" s="17" t="s">
        <v>3311</v>
      </c>
      <c r="B396" s="17">
        <v>5</v>
      </c>
      <c r="C396" s="17" t="s">
        <v>284</v>
      </c>
      <c r="D396" s="17" t="s">
        <v>3312</v>
      </c>
      <c r="E396" s="18" t="s">
        <v>2550</v>
      </c>
      <c r="F396" s="17" t="s">
        <v>1757</v>
      </c>
      <c r="G396" s="24"/>
      <c r="H396" s="24"/>
      <c r="I396" s="19" t="s">
        <v>1783</v>
      </c>
      <c r="J396" s="19" t="s">
        <v>95</v>
      </c>
      <c r="K396" s="24"/>
      <c r="L396" s="20" t="str">
        <f t="shared" si="12"/>
        <v/>
      </c>
      <c r="M396" s="21">
        <f t="shared" si="13"/>
        <v>6</v>
      </c>
    </row>
    <row r="397" spans="1:13" ht="15" customHeight="1">
      <c r="A397" s="17" t="s">
        <v>3313</v>
      </c>
      <c r="B397" s="17">
        <v>6</v>
      </c>
      <c r="C397" s="17" t="s">
        <v>284</v>
      </c>
      <c r="D397" s="17" t="s">
        <v>3314</v>
      </c>
      <c r="E397" s="18" t="s">
        <v>3315</v>
      </c>
      <c r="F397" s="17" t="s">
        <v>3316</v>
      </c>
      <c r="G397" s="24"/>
      <c r="H397" s="24"/>
      <c r="I397" s="19" t="s">
        <v>1783</v>
      </c>
      <c r="J397" s="19" t="s">
        <v>95</v>
      </c>
      <c r="K397" s="24"/>
      <c r="L397" s="20" t="str">
        <f t="shared" si="12"/>
        <v/>
      </c>
      <c r="M397" s="21">
        <f t="shared" si="13"/>
        <v>9</v>
      </c>
    </row>
    <row r="398" spans="1:13" ht="15" customHeight="1">
      <c r="A398" s="17" t="s">
        <v>3317</v>
      </c>
      <c r="B398" s="17">
        <v>6</v>
      </c>
      <c r="C398" s="17" t="s">
        <v>284</v>
      </c>
      <c r="D398" s="17" t="s">
        <v>3318</v>
      </c>
      <c r="E398" s="18" t="s">
        <v>3319</v>
      </c>
      <c r="F398" s="17" t="s">
        <v>3320</v>
      </c>
      <c r="G398" s="24"/>
      <c r="H398" s="24"/>
      <c r="I398" s="19" t="s">
        <v>1783</v>
      </c>
      <c r="J398" s="19" t="s">
        <v>95</v>
      </c>
      <c r="K398" s="24"/>
      <c r="L398" s="20" t="str">
        <f t="shared" si="12"/>
        <v/>
      </c>
      <c r="M398" s="21">
        <f t="shared" si="13"/>
        <v>12</v>
      </c>
    </row>
    <row r="399" spans="1:13" ht="15" customHeight="1">
      <c r="A399" s="17" t="s">
        <v>3321</v>
      </c>
      <c r="B399" s="17">
        <v>6</v>
      </c>
      <c r="C399" s="17" t="s">
        <v>284</v>
      </c>
      <c r="D399" s="17" t="s">
        <v>3322</v>
      </c>
      <c r="E399" s="18" t="s">
        <v>3323</v>
      </c>
      <c r="F399" s="17" t="s">
        <v>3324</v>
      </c>
      <c r="G399" s="24"/>
      <c r="H399" s="24"/>
      <c r="I399" s="19" t="s">
        <v>1783</v>
      </c>
      <c r="J399" s="19" t="s">
        <v>95</v>
      </c>
      <c r="K399" s="24"/>
      <c r="L399" s="20" t="str">
        <f t="shared" si="12"/>
        <v/>
      </c>
      <c r="M399" s="21">
        <f t="shared" si="13"/>
        <v>9</v>
      </c>
    </row>
    <row r="400" spans="1:13" ht="15" customHeight="1">
      <c r="A400" s="17" t="s">
        <v>3325</v>
      </c>
      <c r="B400" s="17">
        <v>6</v>
      </c>
      <c r="C400" s="17" t="s">
        <v>284</v>
      </c>
      <c r="D400" s="17" t="s">
        <v>3326</v>
      </c>
      <c r="E400" s="18" t="s">
        <v>3327</v>
      </c>
      <c r="F400" s="17" t="s">
        <v>3328</v>
      </c>
      <c r="G400" s="24"/>
      <c r="H400" s="24"/>
      <c r="I400" s="19" t="s">
        <v>1783</v>
      </c>
      <c r="J400" s="19" t="s">
        <v>95</v>
      </c>
      <c r="K400" s="24"/>
      <c r="L400" s="20" t="str">
        <f t="shared" si="12"/>
        <v/>
      </c>
      <c r="M400" s="21">
        <f t="shared" si="13"/>
        <v>8</v>
      </c>
    </row>
    <row r="401" spans="1:13" ht="15" customHeight="1">
      <c r="A401" s="17" t="s">
        <v>3329</v>
      </c>
      <c r="B401" s="17">
        <v>6</v>
      </c>
      <c r="C401" s="17" t="s">
        <v>284</v>
      </c>
      <c r="D401" s="17" t="s">
        <v>3330</v>
      </c>
      <c r="E401" s="18" t="s">
        <v>3331</v>
      </c>
      <c r="F401" s="17" t="s">
        <v>3332</v>
      </c>
      <c r="G401" s="24"/>
      <c r="H401" s="24"/>
      <c r="I401" s="19" t="s">
        <v>1783</v>
      </c>
      <c r="J401" s="19" t="s">
        <v>95</v>
      </c>
      <c r="K401" s="24"/>
      <c r="L401" s="20" t="str">
        <f t="shared" si="12"/>
        <v/>
      </c>
      <c r="M401" s="21">
        <f t="shared" si="13"/>
        <v>8</v>
      </c>
    </row>
    <row r="402" spans="1:13" ht="15" customHeight="1"/>
    <row r="403" spans="1:13" ht="15" customHeight="1">
      <c r="A403" s="22" t="s">
        <v>3333</v>
      </c>
    </row>
    <row r="404" spans="1:13" ht="15" customHeight="1"/>
    <row r="405" spans="1:13" ht="15" customHeight="1"/>
    <row r="406" spans="1:13" ht="15" customHeight="1"/>
    <row r="407" spans="1:13" ht="15" customHeight="1"/>
    <row r="408" spans="1:13" ht="15" customHeight="1"/>
    <row r="409" spans="1:13" ht="15" customHeight="1"/>
    <row r="410" spans="1:13" ht="15" customHeight="1"/>
    <row r="411" spans="1:13" ht="15" customHeight="1"/>
    <row r="412" spans="1:13" ht="15" customHeight="1"/>
    <row r="413" spans="1:13" ht="15" customHeight="1"/>
    <row r="414" spans="1:13" ht="15" customHeight="1"/>
    <row r="415" spans="1:13" ht="15" customHeight="1"/>
    <row r="416" spans="1:13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spans="1:13" ht="15" customHeight="1"/>
    <row r="594" spans="1:13" ht="15" customHeight="1"/>
    <row r="595" spans="1:13" ht="15" customHeight="1"/>
    <row r="596" spans="1:13" ht="15" customHeight="1"/>
    <row r="597" spans="1:13" ht="15" customHeight="1"/>
    <row r="598" spans="1:13" ht="15" customHeight="1"/>
    <row r="599" spans="1:13" ht="15" customHeight="1"/>
    <row r="600" spans="1:13" ht="15" customHeight="1"/>
    <row r="601" spans="1:13" ht="15" customHeight="1"/>
    <row r="603" spans="1:13" ht="1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 spans="1:13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 spans="1:13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</sheetData>
  <mergeCells count="1">
    <mergeCell ref="A603:M605"/>
  </mergeCells>
  <phoneticPr fontId="16" type="noConversion"/>
  <conditionalFormatting sqref="L2:L401">
    <cfRule type="expression" dxfId="2" priority="2">
      <formula>AND(L2&lt;&gt;"",L2&lt;&gt;"OK")</formula>
    </cfRule>
  </conditionalFormatting>
  <dataValidations count="3">
    <dataValidation type="list" allowBlank="1" sqref="J2:J401" xr:uid="{00000000-0002-0000-0500-000000000000}">
      <formula1>"미검수,확인,수정필요"</formula1>
      <formula2>0</formula2>
    </dataValidation>
    <dataValidation type="list" allowBlank="1" sqref="H2:H401" xr:uid="{00000000-0002-0000-0500-000001000000}">
      <formula1>"Starters,Movers,Flyers,해당없음"</formula1>
      <formula2>0</formula2>
    </dataValidation>
    <dataValidation type="list" allowBlank="1" sqref="G2:G401" xr:uid="{00000000-0002-0000-0500-000002000000}">
      <formula1>"초등권장*,중등**,대표형 파생,목록 밖"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14"/>
  <sheetViews>
    <sheetView zoomScaleNormal="100" workbookViewId="0">
      <pane ySplit="1" topLeftCell="A386" activePane="bottomLeft" state="frozen"/>
      <selection pane="bottomLeft" activeCell="H390" sqref="H390"/>
    </sheetView>
  </sheetViews>
  <sheetFormatPr defaultColWidth="8.6640625" defaultRowHeight="14.4"/>
  <cols>
    <col min="1" max="1" width="9" customWidth="1"/>
    <col min="2" max="2" width="8" customWidth="1"/>
    <col min="3" max="3" width="9" customWidth="1"/>
    <col min="4" max="4" width="34.33203125" customWidth="1"/>
    <col min="5" max="5" width="35" customWidth="1"/>
    <col min="6" max="6" width="17.21875" customWidth="1"/>
    <col min="7" max="7" width="21.5546875" customWidth="1"/>
    <col min="8" max="8" width="39.88671875" customWidth="1"/>
    <col min="9" max="9" width="11" customWidth="1"/>
    <col min="10" max="10" width="20" customWidth="1"/>
    <col min="11" max="11" width="11" customWidth="1"/>
    <col min="12" max="13" width="12" customWidth="1"/>
    <col min="14" max="14" width="11" customWidth="1"/>
  </cols>
  <sheetData>
    <row r="1" spans="1:14" ht="31.5" customHeight="1">
      <c r="A1" s="14" t="s">
        <v>72</v>
      </c>
      <c r="B1" s="14" t="s">
        <v>74</v>
      </c>
      <c r="C1" s="14" t="s">
        <v>575</v>
      </c>
      <c r="D1" s="14" t="s">
        <v>3334</v>
      </c>
      <c r="E1" s="14" t="s">
        <v>3335</v>
      </c>
      <c r="F1" s="14" t="s">
        <v>3336</v>
      </c>
      <c r="G1" s="14" t="s">
        <v>3337</v>
      </c>
      <c r="H1" s="14" t="s">
        <v>3338</v>
      </c>
      <c r="I1" s="15" t="s">
        <v>80</v>
      </c>
      <c r="J1" s="15" t="s">
        <v>82</v>
      </c>
      <c r="K1" s="16" t="s">
        <v>83</v>
      </c>
      <c r="L1" s="16" t="s">
        <v>343</v>
      </c>
      <c r="M1" s="16" t="s">
        <v>3339</v>
      </c>
      <c r="N1" s="16" t="s">
        <v>3340</v>
      </c>
    </row>
    <row r="2" spans="1:14" ht="15" customHeight="1">
      <c r="A2" s="17" t="s">
        <v>3341</v>
      </c>
      <c r="B2" s="17" t="s">
        <v>89</v>
      </c>
      <c r="C2" s="17" t="s">
        <v>96</v>
      </c>
      <c r="D2" s="17" t="s">
        <v>101</v>
      </c>
      <c r="E2" s="17" t="s">
        <v>577</v>
      </c>
      <c r="F2" s="17" t="s">
        <v>3342</v>
      </c>
      <c r="G2" s="17" t="s">
        <v>577</v>
      </c>
      <c r="H2" s="17" t="s">
        <v>3343</v>
      </c>
      <c r="I2" s="19" t="s">
        <v>95</v>
      </c>
      <c r="J2" s="24"/>
      <c r="K2" s="20" t="str">
        <f t="shared" ref="K2:K65" si="0">IF(A2="","",IF(COUNTIF($A$2:$A$401,A2)&gt;1,"중복",""))</f>
        <v/>
      </c>
      <c r="L2" s="20" t="str">
        <f>IF(C2="","",IF(COUNTIF('01_rules'!$A$2:$A$39,C2)=0,"rule 없음",""))</f>
        <v/>
      </c>
      <c r="M2" s="20" t="str">
        <f t="shared" ref="M2:M65" si="1">IF(D2="","",IF(D2=E2,"error=correct",""))</f>
        <v/>
      </c>
      <c r="N2" s="20" t="str">
        <f t="shared" ref="N2:N65" si="2">IF(H2="","",IF(LEN(H2)-LEN(SUBSTITUTE(H2,";",""))&lt;&gt;2,"보기 3개 아님",""))</f>
        <v/>
      </c>
    </row>
    <row r="3" spans="1:14" ht="15" customHeight="1">
      <c r="A3" s="17" t="s">
        <v>3344</v>
      </c>
      <c r="B3" s="17" t="s">
        <v>89</v>
      </c>
      <c r="C3" s="17" t="s">
        <v>96</v>
      </c>
      <c r="D3" s="17" t="s">
        <v>3345</v>
      </c>
      <c r="E3" s="17" t="s">
        <v>580</v>
      </c>
      <c r="F3" s="17" t="s">
        <v>3346</v>
      </c>
      <c r="G3" s="17" t="s">
        <v>580</v>
      </c>
      <c r="H3" s="17" t="s">
        <v>3343</v>
      </c>
      <c r="I3" s="19" t="s">
        <v>95</v>
      </c>
      <c r="J3" s="24"/>
      <c r="K3" s="20" t="str">
        <f t="shared" si="0"/>
        <v/>
      </c>
      <c r="L3" s="20" t="str">
        <f>IF(C3="","",IF(COUNTIF('01_rules'!$A$2:$A$39,C3)=0,"rule 없음",""))</f>
        <v/>
      </c>
      <c r="M3" s="20" t="str">
        <f t="shared" si="1"/>
        <v/>
      </c>
      <c r="N3" s="20" t="str">
        <f t="shared" si="2"/>
        <v/>
      </c>
    </row>
    <row r="4" spans="1:14" ht="15" customHeight="1">
      <c r="A4" s="17" t="s">
        <v>3347</v>
      </c>
      <c r="B4" s="17" t="s">
        <v>89</v>
      </c>
      <c r="C4" s="17" t="s">
        <v>96</v>
      </c>
      <c r="D4" s="17" t="s">
        <v>3348</v>
      </c>
      <c r="E4" s="17" t="s">
        <v>583</v>
      </c>
      <c r="F4" s="17" t="s">
        <v>3349</v>
      </c>
      <c r="G4" s="17" t="s">
        <v>583</v>
      </c>
      <c r="H4" s="17" t="s">
        <v>3343</v>
      </c>
      <c r="I4" s="19" t="s">
        <v>95</v>
      </c>
      <c r="J4" s="24"/>
      <c r="K4" s="20" t="str">
        <f t="shared" si="0"/>
        <v/>
      </c>
      <c r="L4" s="20" t="str">
        <f>IF(C4="","",IF(COUNTIF('01_rules'!$A$2:$A$39,C4)=0,"rule 없음",""))</f>
        <v/>
      </c>
      <c r="M4" s="20" t="str">
        <f t="shared" si="1"/>
        <v/>
      </c>
      <c r="N4" s="20" t="str">
        <f t="shared" si="2"/>
        <v/>
      </c>
    </row>
    <row r="5" spans="1:14" ht="15" customHeight="1">
      <c r="A5" s="17" t="s">
        <v>3350</v>
      </c>
      <c r="B5" s="17" t="s">
        <v>89</v>
      </c>
      <c r="C5" s="17" t="s">
        <v>96</v>
      </c>
      <c r="D5" s="17" t="s">
        <v>3351</v>
      </c>
      <c r="E5" s="17" t="s">
        <v>586</v>
      </c>
      <c r="F5" s="17" t="s">
        <v>3352</v>
      </c>
      <c r="G5" s="17" t="s">
        <v>3353</v>
      </c>
      <c r="H5" s="17" t="s">
        <v>3343</v>
      </c>
      <c r="I5" s="19" t="s">
        <v>95</v>
      </c>
      <c r="J5" s="24"/>
      <c r="K5" s="20" t="str">
        <f t="shared" si="0"/>
        <v/>
      </c>
      <c r="L5" s="20" t="str">
        <f>IF(C5="","",IF(COUNTIF('01_rules'!$A$2:$A$39,C5)=0,"rule 없음",""))</f>
        <v/>
      </c>
      <c r="M5" s="20" t="str">
        <f t="shared" si="1"/>
        <v/>
      </c>
      <c r="N5" s="20" t="str">
        <f t="shared" si="2"/>
        <v/>
      </c>
    </row>
    <row r="6" spans="1:14" ht="15" customHeight="1">
      <c r="A6" s="17" t="s">
        <v>3354</v>
      </c>
      <c r="B6" s="17" t="s">
        <v>89</v>
      </c>
      <c r="C6" s="17" t="s">
        <v>96</v>
      </c>
      <c r="D6" s="17" t="s">
        <v>3355</v>
      </c>
      <c r="E6" s="17" t="s">
        <v>589</v>
      </c>
      <c r="F6" s="17" t="s">
        <v>3356</v>
      </c>
      <c r="G6" s="17" t="s">
        <v>3357</v>
      </c>
      <c r="H6" s="17" t="s">
        <v>3343</v>
      </c>
      <c r="I6" s="19" t="s">
        <v>95</v>
      </c>
      <c r="J6" s="24"/>
      <c r="K6" s="20" t="str">
        <f t="shared" si="0"/>
        <v/>
      </c>
      <c r="L6" s="20" t="str">
        <f>IF(C6="","",IF(COUNTIF('01_rules'!$A$2:$A$39,C6)=0,"rule 없음",""))</f>
        <v/>
      </c>
      <c r="M6" s="20" t="str">
        <f t="shared" si="1"/>
        <v/>
      </c>
      <c r="N6" s="20" t="str">
        <f t="shared" si="2"/>
        <v/>
      </c>
    </row>
    <row r="7" spans="1:14" ht="23.25" customHeight="1">
      <c r="A7" s="17" t="s">
        <v>3358</v>
      </c>
      <c r="B7" s="17" t="s">
        <v>89</v>
      </c>
      <c r="C7" s="17" t="s">
        <v>96</v>
      </c>
      <c r="D7" s="17" t="s">
        <v>3359</v>
      </c>
      <c r="E7" s="17" t="s">
        <v>592</v>
      </c>
      <c r="F7" s="17" t="s">
        <v>3360</v>
      </c>
      <c r="G7" s="17" t="s">
        <v>592</v>
      </c>
      <c r="H7" s="17" t="s">
        <v>3343</v>
      </c>
      <c r="I7" s="19" t="s">
        <v>95</v>
      </c>
      <c r="J7" s="24"/>
      <c r="K7" s="20" t="str">
        <f t="shared" si="0"/>
        <v/>
      </c>
      <c r="L7" s="20" t="str">
        <f>IF(C7="","",IF(COUNTIF('01_rules'!$A$2:$A$39,C7)=0,"rule 없음",""))</f>
        <v/>
      </c>
      <c r="M7" s="20" t="str">
        <f t="shared" si="1"/>
        <v/>
      </c>
      <c r="N7" s="20" t="str">
        <f t="shared" si="2"/>
        <v/>
      </c>
    </row>
    <row r="8" spans="1:14" ht="15" customHeight="1">
      <c r="A8" s="17" t="s">
        <v>3361</v>
      </c>
      <c r="B8" s="17" t="s">
        <v>89</v>
      </c>
      <c r="C8" s="17" t="s">
        <v>96</v>
      </c>
      <c r="D8" s="17" t="s">
        <v>3362</v>
      </c>
      <c r="E8" s="17" t="s">
        <v>595</v>
      </c>
      <c r="F8" s="17" t="s">
        <v>3363</v>
      </c>
      <c r="G8" s="17" t="s">
        <v>595</v>
      </c>
      <c r="H8" s="17" t="s">
        <v>3343</v>
      </c>
      <c r="I8" s="19" t="s">
        <v>95</v>
      </c>
      <c r="J8" s="24"/>
      <c r="K8" s="20" t="str">
        <f t="shared" si="0"/>
        <v/>
      </c>
      <c r="L8" s="20" t="str">
        <f>IF(C8="","",IF(COUNTIF('01_rules'!$A$2:$A$39,C8)=0,"rule 없음",""))</f>
        <v/>
      </c>
      <c r="M8" s="20" t="str">
        <f t="shared" si="1"/>
        <v/>
      </c>
      <c r="N8" s="20" t="str">
        <f t="shared" si="2"/>
        <v/>
      </c>
    </row>
    <row r="9" spans="1:14" ht="15" customHeight="1">
      <c r="A9" s="17" t="s">
        <v>3364</v>
      </c>
      <c r="B9" s="17" t="s">
        <v>89</v>
      </c>
      <c r="C9" s="17" t="s">
        <v>87</v>
      </c>
      <c r="D9" s="17" t="s">
        <v>93</v>
      </c>
      <c r="E9" s="17" t="s">
        <v>598</v>
      </c>
      <c r="F9" s="17" t="s">
        <v>3365</v>
      </c>
      <c r="G9" s="17" t="s">
        <v>3366</v>
      </c>
      <c r="H9" s="17" t="s">
        <v>3343</v>
      </c>
      <c r="I9" s="19" t="s">
        <v>95</v>
      </c>
      <c r="J9" s="24"/>
      <c r="K9" s="20" t="str">
        <f t="shared" si="0"/>
        <v/>
      </c>
      <c r="L9" s="20" t="str">
        <f>IF(C9="","",IF(COUNTIF('01_rules'!$A$2:$A$39,C9)=0,"rule 없음",""))</f>
        <v/>
      </c>
      <c r="M9" s="20" t="str">
        <f t="shared" si="1"/>
        <v/>
      </c>
      <c r="N9" s="20" t="str">
        <f t="shared" si="2"/>
        <v/>
      </c>
    </row>
    <row r="10" spans="1:14" ht="15" customHeight="1">
      <c r="A10" s="17" t="s">
        <v>3367</v>
      </c>
      <c r="B10" s="17" t="s">
        <v>89</v>
      </c>
      <c r="C10" s="17" t="s">
        <v>96</v>
      </c>
      <c r="D10" s="17" t="s">
        <v>1809</v>
      </c>
      <c r="E10" s="17" t="s">
        <v>601</v>
      </c>
      <c r="F10" s="17" t="s">
        <v>1809</v>
      </c>
      <c r="G10" s="17" t="s">
        <v>601</v>
      </c>
      <c r="H10" s="17" t="s">
        <v>3343</v>
      </c>
      <c r="I10" s="19" t="s">
        <v>95</v>
      </c>
      <c r="J10" s="24"/>
      <c r="K10" s="20" t="str">
        <f t="shared" si="0"/>
        <v/>
      </c>
      <c r="L10" s="20" t="str">
        <f>IF(C10="","",IF(COUNTIF('01_rules'!$A$2:$A$39,C10)=0,"rule 없음",""))</f>
        <v/>
      </c>
      <c r="M10" s="20" t="str">
        <f t="shared" si="1"/>
        <v/>
      </c>
      <c r="N10" s="20" t="str">
        <f t="shared" si="2"/>
        <v/>
      </c>
    </row>
    <row r="11" spans="1:14" ht="15" customHeight="1">
      <c r="A11" s="17" t="s">
        <v>3368</v>
      </c>
      <c r="B11" s="17" t="s">
        <v>89</v>
      </c>
      <c r="C11" s="17" t="s">
        <v>96</v>
      </c>
      <c r="D11" s="17" t="s">
        <v>3369</v>
      </c>
      <c r="E11" s="17" t="s">
        <v>604</v>
      </c>
      <c r="F11" s="17" t="s">
        <v>3370</v>
      </c>
      <c r="G11" s="17" t="s">
        <v>604</v>
      </c>
      <c r="H11" s="17" t="s">
        <v>3343</v>
      </c>
      <c r="I11" s="19" t="s">
        <v>95</v>
      </c>
      <c r="J11" s="24"/>
      <c r="K11" s="20" t="str">
        <f t="shared" si="0"/>
        <v/>
      </c>
      <c r="L11" s="20" t="str">
        <f>IF(C11="","",IF(COUNTIF('01_rules'!$A$2:$A$39,C11)=0,"rule 없음",""))</f>
        <v/>
      </c>
      <c r="M11" s="20" t="str">
        <f t="shared" si="1"/>
        <v/>
      </c>
      <c r="N11" s="20" t="str">
        <f t="shared" si="2"/>
        <v/>
      </c>
    </row>
    <row r="12" spans="1:14" ht="15" customHeight="1">
      <c r="A12" s="17" t="s">
        <v>3371</v>
      </c>
      <c r="B12" s="17" t="s">
        <v>89</v>
      </c>
      <c r="C12" s="17" t="s">
        <v>297</v>
      </c>
      <c r="D12" s="17" t="s">
        <v>3372</v>
      </c>
      <c r="E12" s="17" t="s">
        <v>607</v>
      </c>
      <c r="F12" s="17" t="s">
        <v>1815</v>
      </c>
      <c r="G12" s="17" t="s">
        <v>3373</v>
      </c>
      <c r="H12" s="17" t="s">
        <v>3374</v>
      </c>
      <c r="I12" s="19" t="s">
        <v>95</v>
      </c>
      <c r="J12" s="24"/>
      <c r="K12" s="20" t="str">
        <f t="shared" si="0"/>
        <v/>
      </c>
      <c r="L12" s="20" t="str">
        <f>IF(C12="","",IF(COUNTIF('01_rules'!$A$2:$A$39,C12)=0,"rule 없음",""))</f>
        <v/>
      </c>
      <c r="M12" s="20" t="str">
        <f t="shared" si="1"/>
        <v/>
      </c>
      <c r="N12" s="20" t="str">
        <f t="shared" si="2"/>
        <v/>
      </c>
    </row>
    <row r="13" spans="1:14" ht="15" customHeight="1">
      <c r="A13" s="17" t="s">
        <v>3375</v>
      </c>
      <c r="B13" s="17" t="s">
        <v>89</v>
      </c>
      <c r="C13" s="17" t="s">
        <v>297</v>
      </c>
      <c r="D13" s="17" t="s">
        <v>3376</v>
      </c>
      <c r="E13" s="17" t="s">
        <v>610</v>
      </c>
      <c r="F13" s="17" t="s">
        <v>1819</v>
      </c>
      <c r="G13" s="17" t="s">
        <v>3377</v>
      </c>
      <c r="H13" s="17" t="s">
        <v>3378</v>
      </c>
      <c r="I13" s="19" t="s">
        <v>95</v>
      </c>
      <c r="J13" s="24"/>
      <c r="K13" s="20" t="str">
        <f t="shared" si="0"/>
        <v/>
      </c>
      <c r="L13" s="20" t="str">
        <f>IF(C13="","",IF(COUNTIF('01_rules'!$A$2:$A$39,C13)=0,"rule 없음",""))</f>
        <v/>
      </c>
      <c r="M13" s="20" t="str">
        <f t="shared" si="1"/>
        <v/>
      </c>
      <c r="N13" s="20" t="str">
        <f t="shared" si="2"/>
        <v/>
      </c>
    </row>
    <row r="14" spans="1:14" ht="15" customHeight="1">
      <c r="A14" s="17" t="s">
        <v>3379</v>
      </c>
      <c r="B14" s="17" t="s">
        <v>89</v>
      </c>
      <c r="C14" s="17" t="s">
        <v>297</v>
      </c>
      <c r="D14" s="17" t="s">
        <v>3380</v>
      </c>
      <c r="E14" s="17" t="s">
        <v>613</v>
      </c>
      <c r="F14" s="17" t="s">
        <v>1823</v>
      </c>
      <c r="G14" s="17" t="s">
        <v>3381</v>
      </c>
      <c r="H14" s="17" t="s">
        <v>3382</v>
      </c>
      <c r="I14" s="19" t="s">
        <v>95</v>
      </c>
      <c r="J14" s="24"/>
      <c r="K14" s="20" t="str">
        <f t="shared" si="0"/>
        <v/>
      </c>
      <c r="L14" s="20" t="str">
        <f>IF(C14="","",IF(COUNTIF('01_rules'!$A$2:$A$39,C14)=0,"rule 없음",""))</f>
        <v/>
      </c>
      <c r="M14" s="20" t="str">
        <f t="shared" si="1"/>
        <v/>
      </c>
      <c r="N14" s="20" t="str">
        <f t="shared" si="2"/>
        <v/>
      </c>
    </row>
    <row r="15" spans="1:14" ht="15" customHeight="1">
      <c r="A15" s="17" t="s">
        <v>3383</v>
      </c>
      <c r="B15" s="17" t="s">
        <v>89</v>
      </c>
      <c r="C15" s="17" t="s">
        <v>297</v>
      </c>
      <c r="D15" s="17" t="s">
        <v>3384</v>
      </c>
      <c r="E15" s="17" t="s">
        <v>616</v>
      </c>
      <c r="F15" s="17" t="s">
        <v>1827</v>
      </c>
      <c r="G15" s="17" t="s">
        <v>1800</v>
      </c>
      <c r="H15" s="17" t="s">
        <v>3385</v>
      </c>
      <c r="I15" s="19" t="s">
        <v>95</v>
      </c>
      <c r="J15" s="24"/>
      <c r="K15" s="20" t="str">
        <f t="shared" si="0"/>
        <v/>
      </c>
      <c r="L15" s="20" t="str">
        <f>IF(C15="","",IF(COUNTIF('01_rules'!$A$2:$A$39,C15)=0,"rule 없음",""))</f>
        <v/>
      </c>
      <c r="M15" s="20" t="str">
        <f t="shared" si="1"/>
        <v/>
      </c>
      <c r="N15" s="20" t="str">
        <f t="shared" si="2"/>
        <v/>
      </c>
    </row>
    <row r="16" spans="1:14" ht="15" customHeight="1">
      <c r="A16" s="17" t="s">
        <v>3386</v>
      </c>
      <c r="B16" s="17" t="s">
        <v>89</v>
      </c>
      <c r="C16" s="17" t="s">
        <v>297</v>
      </c>
      <c r="D16" s="17" t="s">
        <v>3387</v>
      </c>
      <c r="E16" s="17" t="s">
        <v>619</v>
      </c>
      <c r="F16" s="17" t="s">
        <v>1831</v>
      </c>
      <c r="G16" s="17" t="s">
        <v>3388</v>
      </c>
      <c r="H16" s="17" t="s">
        <v>3389</v>
      </c>
      <c r="I16" s="19" t="s">
        <v>95</v>
      </c>
      <c r="J16" s="24"/>
      <c r="K16" s="20" t="str">
        <f t="shared" si="0"/>
        <v/>
      </c>
      <c r="L16" s="20" t="str">
        <f>IF(C16="","",IF(COUNTIF('01_rules'!$A$2:$A$39,C16)=0,"rule 없음",""))</f>
        <v/>
      </c>
      <c r="M16" s="20" t="str">
        <f t="shared" si="1"/>
        <v/>
      </c>
      <c r="N16" s="20" t="str">
        <f t="shared" si="2"/>
        <v/>
      </c>
    </row>
    <row r="17" spans="1:14" ht="15" customHeight="1">
      <c r="A17" s="17" t="s">
        <v>3390</v>
      </c>
      <c r="B17" s="17" t="s">
        <v>89</v>
      </c>
      <c r="C17" s="17" t="s">
        <v>297</v>
      </c>
      <c r="D17" s="17" t="s">
        <v>3391</v>
      </c>
      <c r="E17" s="17" t="s">
        <v>622</v>
      </c>
      <c r="F17" s="17" t="s">
        <v>1835</v>
      </c>
      <c r="G17" s="17" t="s">
        <v>3392</v>
      </c>
      <c r="H17" s="17" t="s">
        <v>3393</v>
      </c>
      <c r="I17" s="19" t="s">
        <v>95</v>
      </c>
      <c r="J17" s="24"/>
      <c r="K17" s="20" t="str">
        <f t="shared" si="0"/>
        <v/>
      </c>
      <c r="L17" s="20" t="str">
        <f>IF(C17="","",IF(COUNTIF('01_rules'!$A$2:$A$39,C17)=0,"rule 없음",""))</f>
        <v/>
      </c>
      <c r="M17" s="20" t="str">
        <f t="shared" si="1"/>
        <v/>
      </c>
      <c r="N17" s="20" t="str">
        <f t="shared" si="2"/>
        <v/>
      </c>
    </row>
    <row r="18" spans="1:14" ht="15" customHeight="1">
      <c r="A18" s="17" t="s">
        <v>3394</v>
      </c>
      <c r="B18" s="17" t="s">
        <v>89</v>
      </c>
      <c r="C18" s="17" t="s">
        <v>334</v>
      </c>
      <c r="D18" s="17" t="s">
        <v>3395</v>
      </c>
      <c r="E18" s="17" t="s">
        <v>625</v>
      </c>
      <c r="F18" s="17" t="s">
        <v>3396</v>
      </c>
      <c r="G18" s="17" t="s">
        <v>3397</v>
      </c>
      <c r="H18" s="17" t="s">
        <v>3398</v>
      </c>
      <c r="I18" s="19" t="s">
        <v>95</v>
      </c>
      <c r="J18" s="24"/>
      <c r="K18" s="20" t="str">
        <f t="shared" si="0"/>
        <v/>
      </c>
      <c r="L18" s="20" t="str">
        <f>IF(C18="","",IF(COUNTIF('01_rules'!$A$2:$A$39,C18)=0,"rule 없음",""))</f>
        <v/>
      </c>
      <c r="M18" s="20" t="str">
        <f t="shared" si="1"/>
        <v/>
      </c>
      <c r="N18" s="20" t="str">
        <f t="shared" si="2"/>
        <v/>
      </c>
    </row>
    <row r="19" spans="1:14" ht="15" customHeight="1">
      <c r="A19" s="17" t="s">
        <v>3399</v>
      </c>
      <c r="B19" s="17" t="s">
        <v>89</v>
      </c>
      <c r="C19" s="17" t="s">
        <v>334</v>
      </c>
      <c r="D19" s="17" t="s">
        <v>3400</v>
      </c>
      <c r="E19" s="17" t="s">
        <v>628</v>
      </c>
      <c r="F19" s="17" t="s">
        <v>3396</v>
      </c>
      <c r="G19" s="17" t="s">
        <v>3397</v>
      </c>
      <c r="H19" s="17" t="s">
        <v>3398</v>
      </c>
      <c r="I19" s="19" t="s">
        <v>95</v>
      </c>
      <c r="J19" s="24"/>
      <c r="K19" s="20" t="str">
        <f t="shared" si="0"/>
        <v/>
      </c>
      <c r="L19" s="20" t="str">
        <f>IF(C19="","",IF(COUNTIF('01_rules'!$A$2:$A$39,C19)=0,"rule 없음",""))</f>
        <v/>
      </c>
      <c r="M19" s="20" t="str">
        <f t="shared" si="1"/>
        <v/>
      </c>
      <c r="N19" s="20" t="str">
        <f t="shared" si="2"/>
        <v/>
      </c>
    </row>
    <row r="20" spans="1:14" ht="15" customHeight="1">
      <c r="A20" s="17" t="s">
        <v>3401</v>
      </c>
      <c r="B20" s="17" t="s">
        <v>89</v>
      </c>
      <c r="C20" s="17" t="s">
        <v>87</v>
      </c>
      <c r="D20" s="17" t="s">
        <v>3402</v>
      </c>
      <c r="E20" s="17" t="s">
        <v>631</v>
      </c>
      <c r="F20" s="17" t="s">
        <v>3403</v>
      </c>
      <c r="G20" s="17" t="s">
        <v>3404</v>
      </c>
      <c r="H20" s="17" t="s">
        <v>3343</v>
      </c>
      <c r="I20" s="19" t="s">
        <v>95</v>
      </c>
      <c r="J20" s="24"/>
      <c r="K20" s="20" t="str">
        <f t="shared" si="0"/>
        <v/>
      </c>
      <c r="L20" s="20" t="str">
        <f>IF(C20="","",IF(COUNTIF('01_rules'!$A$2:$A$39,C20)=0,"rule 없음",""))</f>
        <v/>
      </c>
      <c r="M20" s="20" t="str">
        <f t="shared" si="1"/>
        <v/>
      </c>
      <c r="N20" s="20" t="str">
        <f t="shared" si="2"/>
        <v/>
      </c>
    </row>
    <row r="21" spans="1:14" ht="15" customHeight="1">
      <c r="A21" s="17" t="s">
        <v>3405</v>
      </c>
      <c r="B21" s="17" t="s">
        <v>89</v>
      </c>
      <c r="C21" s="17" t="s">
        <v>87</v>
      </c>
      <c r="D21" s="17" t="s">
        <v>3406</v>
      </c>
      <c r="E21" s="17" t="s">
        <v>634</v>
      </c>
      <c r="F21" s="17" t="s">
        <v>3407</v>
      </c>
      <c r="G21" s="17" t="s">
        <v>3408</v>
      </c>
      <c r="H21" s="17" t="s">
        <v>3343</v>
      </c>
      <c r="I21" s="19" t="s">
        <v>95</v>
      </c>
      <c r="J21" s="24"/>
      <c r="K21" s="20" t="str">
        <f t="shared" si="0"/>
        <v/>
      </c>
      <c r="L21" s="20" t="str">
        <f>IF(C21="","",IF(COUNTIF('01_rules'!$A$2:$A$39,C21)=0,"rule 없음",""))</f>
        <v/>
      </c>
      <c r="M21" s="20" t="str">
        <f t="shared" si="1"/>
        <v/>
      </c>
      <c r="N21" s="20" t="str">
        <f t="shared" si="2"/>
        <v/>
      </c>
    </row>
    <row r="22" spans="1:14" ht="15" customHeight="1">
      <c r="A22" s="17" t="s">
        <v>3409</v>
      </c>
      <c r="B22" s="17" t="s">
        <v>104</v>
      </c>
      <c r="C22" s="17" t="s">
        <v>109</v>
      </c>
      <c r="D22" s="17" t="s">
        <v>3410</v>
      </c>
      <c r="E22" s="17" t="s">
        <v>637</v>
      </c>
      <c r="F22" s="17" t="s">
        <v>3411</v>
      </c>
      <c r="G22" s="17" t="s">
        <v>1855</v>
      </c>
      <c r="H22" s="17" t="s">
        <v>3343</v>
      </c>
      <c r="I22" s="19" t="s">
        <v>95</v>
      </c>
      <c r="J22" s="24"/>
      <c r="K22" s="20" t="str">
        <f t="shared" si="0"/>
        <v/>
      </c>
      <c r="L22" s="20" t="str">
        <f>IF(C22="","",IF(COUNTIF('01_rules'!$A$2:$A$39,C22)=0,"rule 없음",""))</f>
        <v/>
      </c>
      <c r="M22" s="20" t="str">
        <f t="shared" si="1"/>
        <v/>
      </c>
      <c r="N22" s="20" t="str">
        <f t="shared" si="2"/>
        <v/>
      </c>
    </row>
    <row r="23" spans="1:14" ht="15" customHeight="1">
      <c r="A23" s="17" t="s">
        <v>3412</v>
      </c>
      <c r="B23" s="17" t="s">
        <v>104</v>
      </c>
      <c r="C23" s="17" t="s">
        <v>109</v>
      </c>
      <c r="D23" s="17" t="s">
        <v>3413</v>
      </c>
      <c r="E23" s="17" t="s">
        <v>640</v>
      </c>
      <c r="F23" s="17" t="s">
        <v>3414</v>
      </c>
      <c r="G23" s="17" t="s">
        <v>1859</v>
      </c>
      <c r="H23" s="17" t="s">
        <v>3343</v>
      </c>
      <c r="I23" s="19" t="s">
        <v>95</v>
      </c>
      <c r="J23" s="24"/>
      <c r="K23" s="20" t="str">
        <f t="shared" si="0"/>
        <v/>
      </c>
      <c r="L23" s="20" t="str">
        <f>IF(C23="","",IF(COUNTIF('01_rules'!$A$2:$A$39,C23)=0,"rule 없음",""))</f>
        <v/>
      </c>
      <c r="M23" s="20" t="str">
        <f t="shared" si="1"/>
        <v/>
      </c>
      <c r="N23" s="20" t="str">
        <f t="shared" si="2"/>
        <v/>
      </c>
    </row>
    <row r="24" spans="1:14" ht="15" customHeight="1">
      <c r="A24" s="17" t="s">
        <v>3415</v>
      </c>
      <c r="B24" s="17" t="s">
        <v>104</v>
      </c>
      <c r="C24" s="17" t="s">
        <v>109</v>
      </c>
      <c r="D24" s="17" t="s">
        <v>3416</v>
      </c>
      <c r="E24" s="17" t="s">
        <v>643</v>
      </c>
      <c r="F24" s="17" t="s">
        <v>3417</v>
      </c>
      <c r="G24" s="17" t="s">
        <v>1863</v>
      </c>
      <c r="H24" s="17" t="s">
        <v>3343</v>
      </c>
      <c r="I24" s="19" t="s">
        <v>95</v>
      </c>
      <c r="J24" s="24"/>
      <c r="K24" s="20" t="str">
        <f t="shared" si="0"/>
        <v/>
      </c>
      <c r="L24" s="20" t="str">
        <f>IF(C24="","",IF(COUNTIF('01_rules'!$A$2:$A$39,C24)=0,"rule 없음",""))</f>
        <v/>
      </c>
      <c r="M24" s="20" t="str">
        <f t="shared" si="1"/>
        <v/>
      </c>
      <c r="N24" s="20" t="str">
        <f t="shared" si="2"/>
        <v/>
      </c>
    </row>
    <row r="25" spans="1:14" ht="15" customHeight="1">
      <c r="A25" s="17" t="s">
        <v>3418</v>
      </c>
      <c r="B25" s="17" t="s">
        <v>104</v>
      </c>
      <c r="C25" s="17" t="s">
        <v>109</v>
      </c>
      <c r="D25" s="17" t="s">
        <v>3419</v>
      </c>
      <c r="E25" s="17" t="s">
        <v>646</v>
      </c>
      <c r="F25" s="17" t="s">
        <v>3420</v>
      </c>
      <c r="G25" s="17" t="s">
        <v>1867</v>
      </c>
      <c r="H25" s="17" t="s">
        <v>3343</v>
      </c>
      <c r="I25" s="19" t="s">
        <v>95</v>
      </c>
      <c r="J25" s="24"/>
      <c r="K25" s="20" t="str">
        <f t="shared" si="0"/>
        <v/>
      </c>
      <c r="L25" s="20" t="str">
        <f>IF(C25="","",IF(COUNTIF('01_rules'!$A$2:$A$39,C25)=0,"rule 없음",""))</f>
        <v/>
      </c>
      <c r="M25" s="20" t="str">
        <f t="shared" si="1"/>
        <v/>
      </c>
      <c r="N25" s="20" t="str">
        <f t="shared" si="2"/>
        <v/>
      </c>
    </row>
    <row r="26" spans="1:14" ht="15" customHeight="1">
      <c r="A26" s="17" t="s">
        <v>3421</v>
      </c>
      <c r="B26" s="17" t="s">
        <v>104</v>
      </c>
      <c r="C26" s="17" t="s">
        <v>109</v>
      </c>
      <c r="D26" s="17" t="s">
        <v>3422</v>
      </c>
      <c r="E26" s="17" t="s">
        <v>649</v>
      </c>
      <c r="F26" s="17" t="s">
        <v>3423</v>
      </c>
      <c r="G26" s="17" t="s">
        <v>1871</v>
      </c>
      <c r="H26" s="17" t="s">
        <v>3343</v>
      </c>
      <c r="I26" s="19" t="s">
        <v>95</v>
      </c>
      <c r="J26" s="24"/>
      <c r="K26" s="20" t="str">
        <f t="shared" si="0"/>
        <v/>
      </c>
      <c r="L26" s="20" t="str">
        <f>IF(C26="","",IF(COUNTIF('01_rules'!$A$2:$A$39,C26)=0,"rule 없음",""))</f>
        <v/>
      </c>
      <c r="M26" s="20" t="str">
        <f t="shared" si="1"/>
        <v/>
      </c>
      <c r="N26" s="20" t="str">
        <f t="shared" si="2"/>
        <v/>
      </c>
    </row>
    <row r="27" spans="1:14" ht="15" customHeight="1">
      <c r="A27" s="17" t="s">
        <v>3424</v>
      </c>
      <c r="B27" s="17" t="s">
        <v>104</v>
      </c>
      <c r="C27" s="17" t="s">
        <v>102</v>
      </c>
      <c r="D27" s="17" t="s">
        <v>3425</v>
      </c>
      <c r="E27" s="17" t="s">
        <v>652</v>
      </c>
      <c r="F27" s="17" t="s">
        <v>1875</v>
      </c>
      <c r="G27" s="17" t="s">
        <v>3426</v>
      </c>
      <c r="H27" s="17" t="s">
        <v>3427</v>
      </c>
      <c r="I27" s="19" t="s">
        <v>95</v>
      </c>
      <c r="J27" s="24"/>
      <c r="K27" s="20" t="str">
        <f t="shared" si="0"/>
        <v/>
      </c>
      <c r="L27" s="20" t="str">
        <f>IF(C27="","",IF(COUNTIF('01_rules'!$A$2:$A$39,C27)=0,"rule 없음",""))</f>
        <v/>
      </c>
      <c r="M27" s="20" t="str">
        <f t="shared" si="1"/>
        <v/>
      </c>
      <c r="N27" s="20" t="str">
        <f t="shared" si="2"/>
        <v/>
      </c>
    </row>
    <row r="28" spans="1:14" ht="15" customHeight="1">
      <c r="A28" s="17" t="s">
        <v>3428</v>
      </c>
      <c r="B28" s="17" t="s">
        <v>104</v>
      </c>
      <c r="C28" s="17" t="s">
        <v>102</v>
      </c>
      <c r="D28" s="17" t="s">
        <v>3429</v>
      </c>
      <c r="E28" s="17" t="s">
        <v>655</v>
      </c>
      <c r="F28" s="17" t="s">
        <v>1879</v>
      </c>
      <c r="G28" s="17" t="s">
        <v>3430</v>
      </c>
      <c r="H28" s="17" t="s">
        <v>3431</v>
      </c>
      <c r="I28" s="19" t="s">
        <v>95</v>
      </c>
      <c r="J28" s="24"/>
      <c r="K28" s="20" t="str">
        <f t="shared" si="0"/>
        <v/>
      </c>
      <c r="L28" s="20" t="str">
        <f>IF(C28="","",IF(COUNTIF('01_rules'!$A$2:$A$39,C28)=0,"rule 없음",""))</f>
        <v/>
      </c>
      <c r="M28" s="20" t="str">
        <f t="shared" si="1"/>
        <v/>
      </c>
      <c r="N28" s="20" t="str">
        <f t="shared" si="2"/>
        <v/>
      </c>
    </row>
    <row r="29" spans="1:14" ht="15" customHeight="1">
      <c r="A29" s="17" t="s">
        <v>3432</v>
      </c>
      <c r="B29" s="17" t="s">
        <v>104</v>
      </c>
      <c r="C29" s="17" t="s">
        <v>102</v>
      </c>
      <c r="D29" s="17" t="s">
        <v>3433</v>
      </c>
      <c r="E29" s="17" t="s">
        <v>658</v>
      </c>
      <c r="F29" s="17" t="s">
        <v>1883</v>
      </c>
      <c r="G29" s="17" t="s">
        <v>3434</v>
      </c>
      <c r="H29" s="17" t="s">
        <v>3435</v>
      </c>
      <c r="I29" s="19" t="s">
        <v>95</v>
      </c>
      <c r="J29" s="24"/>
      <c r="K29" s="20" t="str">
        <f t="shared" si="0"/>
        <v/>
      </c>
      <c r="L29" s="20" t="str">
        <f>IF(C29="","",IF(COUNTIF('01_rules'!$A$2:$A$39,C29)=0,"rule 없음",""))</f>
        <v/>
      </c>
      <c r="M29" s="20" t="str">
        <f t="shared" si="1"/>
        <v/>
      </c>
      <c r="N29" s="20" t="str">
        <f t="shared" si="2"/>
        <v/>
      </c>
    </row>
    <row r="30" spans="1:14" ht="15" customHeight="1">
      <c r="A30" s="17" t="s">
        <v>3436</v>
      </c>
      <c r="B30" s="17" t="s">
        <v>104</v>
      </c>
      <c r="C30" s="17" t="s">
        <v>102</v>
      </c>
      <c r="D30" s="17" t="s">
        <v>3437</v>
      </c>
      <c r="E30" s="17" t="s">
        <v>661</v>
      </c>
      <c r="F30" s="17" t="s">
        <v>1887</v>
      </c>
      <c r="G30" s="17" t="s">
        <v>3438</v>
      </c>
      <c r="H30" s="17" t="s">
        <v>3439</v>
      </c>
      <c r="I30" s="19" t="s">
        <v>95</v>
      </c>
      <c r="J30" s="24"/>
      <c r="K30" s="20" t="str">
        <f t="shared" si="0"/>
        <v/>
      </c>
      <c r="L30" s="20" t="str">
        <f>IF(C30="","",IF(COUNTIF('01_rules'!$A$2:$A$39,C30)=0,"rule 없음",""))</f>
        <v/>
      </c>
      <c r="M30" s="20" t="str">
        <f t="shared" si="1"/>
        <v/>
      </c>
      <c r="N30" s="20" t="str">
        <f t="shared" si="2"/>
        <v/>
      </c>
    </row>
    <row r="31" spans="1:14" ht="15" customHeight="1">
      <c r="A31" s="17" t="s">
        <v>3440</v>
      </c>
      <c r="B31" s="17" t="s">
        <v>104</v>
      </c>
      <c r="C31" s="17" t="s">
        <v>102</v>
      </c>
      <c r="D31" s="17" t="s">
        <v>3441</v>
      </c>
      <c r="E31" s="17" t="s">
        <v>664</v>
      </c>
      <c r="F31" s="17" t="s">
        <v>1891</v>
      </c>
      <c r="G31" s="17" t="s">
        <v>3442</v>
      </c>
      <c r="H31" s="17" t="s">
        <v>3443</v>
      </c>
      <c r="I31" s="19" t="s">
        <v>95</v>
      </c>
      <c r="J31" s="24"/>
      <c r="K31" s="20" t="str">
        <f t="shared" si="0"/>
        <v/>
      </c>
      <c r="L31" s="20" t="str">
        <f>IF(C31="","",IF(COUNTIF('01_rules'!$A$2:$A$39,C31)=0,"rule 없음",""))</f>
        <v/>
      </c>
      <c r="M31" s="20" t="str">
        <f t="shared" si="1"/>
        <v/>
      </c>
      <c r="N31" s="20" t="str">
        <f t="shared" si="2"/>
        <v/>
      </c>
    </row>
    <row r="32" spans="1:14" ht="15" customHeight="1">
      <c r="A32" s="17" t="s">
        <v>3444</v>
      </c>
      <c r="B32" s="17" t="s">
        <v>104</v>
      </c>
      <c r="C32" s="17" t="s">
        <v>109</v>
      </c>
      <c r="D32" s="17" t="s">
        <v>3445</v>
      </c>
      <c r="E32" s="17" t="s">
        <v>667</v>
      </c>
      <c r="F32" s="17" t="s">
        <v>3446</v>
      </c>
      <c r="G32" s="17" t="s">
        <v>3447</v>
      </c>
      <c r="H32" s="17" t="s">
        <v>3343</v>
      </c>
      <c r="I32" s="19" t="s">
        <v>95</v>
      </c>
      <c r="J32" s="24"/>
      <c r="K32" s="20" t="str">
        <f t="shared" si="0"/>
        <v/>
      </c>
      <c r="L32" s="20" t="str">
        <f>IF(C32="","",IF(COUNTIF('01_rules'!$A$2:$A$39,C32)=0,"rule 없음",""))</f>
        <v/>
      </c>
      <c r="M32" s="20" t="str">
        <f t="shared" si="1"/>
        <v/>
      </c>
      <c r="N32" s="20" t="str">
        <f t="shared" si="2"/>
        <v/>
      </c>
    </row>
    <row r="33" spans="1:14" ht="15" customHeight="1">
      <c r="A33" s="17" t="s">
        <v>3448</v>
      </c>
      <c r="B33" s="17" t="s">
        <v>104</v>
      </c>
      <c r="C33" s="17" t="s">
        <v>334</v>
      </c>
      <c r="D33" s="17" t="s">
        <v>3449</v>
      </c>
      <c r="E33" s="17" t="s">
        <v>670</v>
      </c>
      <c r="F33" s="17" t="s">
        <v>3396</v>
      </c>
      <c r="G33" s="17" t="s">
        <v>3397</v>
      </c>
      <c r="H33" s="17" t="s">
        <v>3398</v>
      </c>
      <c r="I33" s="19" t="s">
        <v>95</v>
      </c>
      <c r="J33" s="24"/>
      <c r="K33" s="20" t="str">
        <f t="shared" si="0"/>
        <v/>
      </c>
      <c r="L33" s="20" t="str">
        <f>IF(C33="","",IF(COUNTIF('01_rules'!$A$2:$A$39,C33)=0,"rule 없음",""))</f>
        <v/>
      </c>
      <c r="M33" s="20" t="str">
        <f t="shared" si="1"/>
        <v/>
      </c>
      <c r="N33" s="20" t="str">
        <f t="shared" si="2"/>
        <v/>
      </c>
    </row>
    <row r="34" spans="1:14" ht="15" customHeight="1">
      <c r="A34" s="17" t="s">
        <v>3450</v>
      </c>
      <c r="B34" s="17" t="s">
        <v>104</v>
      </c>
      <c r="C34" s="17" t="s">
        <v>334</v>
      </c>
      <c r="D34" s="17" t="s">
        <v>3451</v>
      </c>
      <c r="E34" s="17" t="s">
        <v>673</v>
      </c>
      <c r="F34" s="17" t="s">
        <v>3396</v>
      </c>
      <c r="G34" s="17" t="s">
        <v>3397</v>
      </c>
      <c r="H34" s="17" t="s">
        <v>3398</v>
      </c>
      <c r="I34" s="19" t="s">
        <v>95</v>
      </c>
      <c r="J34" s="24"/>
      <c r="K34" s="20" t="str">
        <f t="shared" si="0"/>
        <v/>
      </c>
      <c r="L34" s="20" t="str">
        <f>IF(C34="","",IF(COUNTIF('01_rules'!$A$2:$A$39,C34)=0,"rule 없음",""))</f>
        <v/>
      </c>
      <c r="M34" s="20" t="str">
        <f t="shared" si="1"/>
        <v/>
      </c>
      <c r="N34" s="20" t="str">
        <f t="shared" si="2"/>
        <v/>
      </c>
    </row>
    <row r="35" spans="1:14" ht="15" customHeight="1">
      <c r="A35" s="17" t="s">
        <v>3452</v>
      </c>
      <c r="B35" s="17" t="s">
        <v>104</v>
      </c>
      <c r="C35" s="17" t="s">
        <v>334</v>
      </c>
      <c r="D35" s="17" t="s">
        <v>3453</v>
      </c>
      <c r="E35" s="17" t="s">
        <v>676</v>
      </c>
      <c r="F35" s="17" t="s">
        <v>3396</v>
      </c>
      <c r="G35" s="17" t="s">
        <v>3397</v>
      </c>
      <c r="H35" s="17" t="s">
        <v>3398</v>
      </c>
      <c r="I35" s="19" t="s">
        <v>95</v>
      </c>
      <c r="J35" s="24"/>
      <c r="K35" s="20" t="str">
        <f t="shared" si="0"/>
        <v/>
      </c>
      <c r="L35" s="20" t="str">
        <f>IF(C35="","",IF(COUNTIF('01_rules'!$A$2:$A$39,C35)=0,"rule 없음",""))</f>
        <v/>
      </c>
      <c r="M35" s="20" t="str">
        <f t="shared" si="1"/>
        <v/>
      </c>
      <c r="N35" s="20" t="str">
        <f t="shared" si="2"/>
        <v/>
      </c>
    </row>
    <row r="36" spans="1:14" ht="15" customHeight="1">
      <c r="A36" s="17" t="s">
        <v>3454</v>
      </c>
      <c r="B36" s="17" t="s">
        <v>104</v>
      </c>
      <c r="C36" s="17" t="s">
        <v>334</v>
      </c>
      <c r="D36" s="17" t="s">
        <v>3455</v>
      </c>
      <c r="E36" s="17" t="s">
        <v>679</v>
      </c>
      <c r="F36" s="17" t="s">
        <v>3396</v>
      </c>
      <c r="G36" s="17" t="s">
        <v>3397</v>
      </c>
      <c r="H36" s="17" t="s">
        <v>3398</v>
      </c>
      <c r="I36" s="19" t="s">
        <v>95</v>
      </c>
      <c r="J36" s="24"/>
      <c r="K36" s="20" t="str">
        <f t="shared" si="0"/>
        <v/>
      </c>
      <c r="L36" s="20" t="str">
        <f>IF(C36="","",IF(COUNTIF('01_rules'!$A$2:$A$39,C36)=0,"rule 없음",""))</f>
        <v/>
      </c>
      <c r="M36" s="20" t="str">
        <f t="shared" si="1"/>
        <v/>
      </c>
      <c r="N36" s="20" t="str">
        <f t="shared" si="2"/>
        <v/>
      </c>
    </row>
    <row r="37" spans="1:14" ht="15" customHeight="1">
      <c r="A37" s="17" t="s">
        <v>3456</v>
      </c>
      <c r="B37" s="17" t="s">
        <v>104</v>
      </c>
      <c r="C37" s="17" t="s">
        <v>334</v>
      </c>
      <c r="D37" s="17" t="s">
        <v>3457</v>
      </c>
      <c r="E37" s="17" t="s">
        <v>682</v>
      </c>
      <c r="F37" s="17" t="s">
        <v>3396</v>
      </c>
      <c r="G37" s="17" t="s">
        <v>3397</v>
      </c>
      <c r="H37" s="17" t="s">
        <v>3398</v>
      </c>
      <c r="I37" s="19" t="s">
        <v>95</v>
      </c>
      <c r="J37" s="24"/>
      <c r="K37" s="20" t="str">
        <f t="shared" si="0"/>
        <v/>
      </c>
      <c r="L37" s="20" t="str">
        <f>IF(C37="","",IF(COUNTIF('01_rules'!$A$2:$A$39,C37)=0,"rule 없음",""))</f>
        <v/>
      </c>
      <c r="M37" s="20" t="str">
        <f t="shared" si="1"/>
        <v/>
      </c>
      <c r="N37" s="20" t="str">
        <f t="shared" si="2"/>
        <v/>
      </c>
    </row>
    <row r="38" spans="1:14" ht="15" customHeight="1">
      <c r="A38" s="17" t="s">
        <v>3458</v>
      </c>
      <c r="B38" s="17" t="s">
        <v>104</v>
      </c>
      <c r="C38" s="17" t="s">
        <v>334</v>
      </c>
      <c r="D38" s="17" t="s">
        <v>3459</v>
      </c>
      <c r="E38" s="17" t="s">
        <v>685</v>
      </c>
      <c r="F38" s="17" t="s">
        <v>3396</v>
      </c>
      <c r="G38" s="17" t="s">
        <v>3397</v>
      </c>
      <c r="H38" s="17" t="s">
        <v>3398</v>
      </c>
      <c r="I38" s="19" t="s">
        <v>95</v>
      </c>
      <c r="J38" s="24"/>
      <c r="K38" s="20" t="str">
        <f t="shared" si="0"/>
        <v/>
      </c>
      <c r="L38" s="20" t="str">
        <f>IF(C38="","",IF(COUNTIF('01_rules'!$A$2:$A$39,C38)=0,"rule 없음",""))</f>
        <v/>
      </c>
      <c r="M38" s="20" t="str">
        <f t="shared" si="1"/>
        <v/>
      </c>
      <c r="N38" s="20" t="str">
        <f t="shared" si="2"/>
        <v/>
      </c>
    </row>
    <row r="39" spans="1:14" ht="15" customHeight="1">
      <c r="A39" s="17" t="s">
        <v>3460</v>
      </c>
      <c r="B39" s="17" t="s">
        <v>104</v>
      </c>
      <c r="C39" s="17" t="s">
        <v>334</v>
      </c>
      <c r="D39" s="17" t="s">
        <v>3461</v>
      </c>
      <c r="E39" s="17" t="s">
        <v>688</v>
      </c>
      <c r="F39" s="17" t="s">
        <v>3396</v>
      </c>
      <c r="G39" s="17" t="s">
        <v>3397</v>
      </c>
      <c r="H39" s="17" t="s">
        <v>3398</v>
      </c>
      <c r="I39" s="19" t="s">
        <v>95</v>
      </c>
      <c r="J39" s="24"/>
      <c r="K39" s="20" t="str">
        <f t="shared" si="0"/>
        <v/>
      </c>
      <c r="L39" s="20" t="str">
        <f>IF(C39="","",IF(COUNTIF('01_rules'!$A$2:$A$39,C39)=0,"rule 없음",""))</f>
        <v/>
      </c>
      <c r="M39" s="20" t="str">
        <f t="shared" si="1"/>
        <v/>
      </c>
      <c r="N39" s="20" t="str">
        <f t="shared" si="2"/>
        <v/>
      </c>
    </row>
    <row r="40" spans="1:14" ht="15" customHeight="1">
      <c r="A40" s="17" t="s">
        <v>3462</v>
      </c>
      <c r="B40" s="17" t="s">
        <v>104</v>
      </c>
      <c r="C40" s="17" t="s">
        <v>334</v>
      </c>
      <c r="D40" s="17" t="s">
        <v>3463</v>
      </c>
      <c r="E40" s="17" t="s">
        <v>691</v>
      </c>
      <c r="F40" s="17" t="s">
        <v>3396</v>
      </c>
      <c r="G40" s="17" t="s">
        <v>3397</v>
      </c>
      <c r="H40" s="17" t="s">
        <v>3398</v>
      </c>
      <c r="I40" s="19" t="s">
        <v>95</v>
      </c>
      <c r="J40" s="24"/>
      <c r="K40" s="20" t="str">
        <f t="shared" si="0"/>
        <v/>
      </c>
      <c r="L40" s="20" t="str">
        <f>IF(C40="","",IF(COUNTIF('01_rules'!$A$2:$A$39,C40)=0,"rule 없음",""))</f>
        <v/>
      </c>
      <c r="M40" s="20" t="str">
        <f t="shared" si="1"/>
        <v/>
      </c>
      <c r="N40" s="20" t="str">
        <f t="shared" si="2"/>
        <v/>
      </c>
    </row>
    <row r="41" spans="1:14" ht="15" customHeight="1">
      <c r="A41" s="17" t="s">
        <v>3464</v>
      </c>
      <c r="B41" s="17" t="s">
        <v>104</v>
      </c>
      <c r="C41" s="17" t="s">
        <v>310</v>
      </c>
      <c r="D41" s="17" t="s">
        <v>3465</v>
      </c>
      <c r="E41" s="17" t="s">
        <v>694</v>
      </c>
      <c r="F41" s="17" t="s">
        <v>3397</v>
      </c>
      <c r="G41" s="17" t="s">
        <v>3396</v>
      </c>
      <c r="H41" s="17" t="s">
        <v>3398</v>
      </c>
      <c r="I41" s="19" t="s">
        <v>95</v>
      </c>
      <c r="J41" s="24"/>
      <c r="K41" s="20" t="str">
        <f t="shared" si="0"/>
        <v/>
      </c>
      <c r="L41" s="20" t="str">
        <f>IF(C41="","",IF(COUNTIF('01_rules'!$A$2:$A$39,C41)=0,"rule 없음",""))</f>
        <v/>
      </c>
      <c r="M41" s="20" t="str">
        <f t="shared" si="1"/>
        <v/>
      </c>
      <c r="N41" s="20" t="str">
        <f t="shared" si="2"/>
        <v/>
      </c>
    </row>
    <row r="42" spans="1:14" ht="15" customHeight="1">
      <c r="A42" s="17" t="s">
        <v>3466</v>
      </c>
      <c r="B42" s="17" t="s">
        <v>117</v>
      </c>
      <c r="C42" s="17" t="s">
        <v>115</v>
      </c>
      <c r="D42" s="17" t="s">
        <v>3467</v>
      </c>
      <c r="E42" s="17" t="s">
        <v>697</v>
      </c>
      <c r="F42" s="17" t="s">
        <v>1935</v>
      </c>
      <c r="G42" s="17" t="s">
        <v>3468</v>
      </c>
      <c r="H42" s="17" t="s">
        <v>3469</v>
      </c>
      <c r="I42" s="19" t="s">
        <v>95</v>
      </c>
      <c r="J42" s="24"/>
      <c r="K42" s="20" t="str">
        <f t="shared" si="0"/>
        <v/>
      </c>
      <c r="L42" s="20" t="str">
        <f>IF(C42="","",IF(COUNTIF('01_rules'!$A$2:$A$39,C42)=0,"rule 없음",""))</f>
        <v/>
      </c>
      <c r="M42" s="20" t="str">
        <f t="shared" si="1"/>
        <v/>
      </c>
      <c r="N42" s="20" t="str">
        <f t="shared" si="2"/>
        <v/>
      </c>
    </row>
    <row r="43" spans="1:14" ht="15" customHeight="1">
      <c r="A43" s="17" t="s">
        <v>3470</v>
      </c>
      <c r="B43" s="17" t="s">
        <v>117</v>
      </c>
      <c r="C43" s="17" t="s">
        <v>115</v>
      </c>
      <c r="D43" s="17" t="s">
        <v>3471</v>
      </c>
      <c r="E43" s="17" t="s">
        <v>700</v>
      </c>
      <c r="F43" s="17" t="s">
        <v>1939</v>
      </c>
      <c r="G43" s="17" t="s">
        <v>3472</v>
      </c>
      <c r="H43" s="17" t="s">
        <v>3473</v>
      </c>
      <c r="I43" s="19" t="s">
        <v>95</v>
      </c>
      <c r="J43" s="24"/>
      <c r="K43" s="20" t="str">
        <f t="shared" si="0"/>
        <v/>
      </c>
      <c r="L43" s="20" t="str">
        <f>IF(C43="","",IF(COUNTIF('01_rules'!$A$2:$A$39,C43)=0,"rule 없음",""))</f>
        <v/>
      </c>
      <c r="M43" s="20" t="str">
        <f t="shared" si="1"/>
        <v/>
      </c>
      <c r="N43" s="20" t="str">
        <f t="shared" si="2"/>
        <v/>
      </c>
    </row>
    <row r="44" spans="1:14" ht="15" customHeight="1">
      <c r="A44" s="17" t="s">
        <v>3474</v>
      </c>
      <c r="B44" s="17" t="s">
        <v>117</v>
      </c>
      <c r="C44" s="17" t="s">
        <v>115</v>
      </c>
      <c r="D44" s="17" t="s">
        <v>3475</v>
      </c>
      <c r="E44" s="17" t="s">
        <v>703</v>
      </c>
      <c r="F44" s="17" t="s">
        <v>1943</v>
      </c>
      <c r="G44" s="17" t="s">
        <v>3476</v>
      </c>
      <c r="H44" s="17" t="s">
        <v>3477</v>
      </c>
      <c r="I44" s="19" t="s">
        <v>95</v>
      </c>
      <c r="J44" s="24"/>
      <c r="K44" s="20" t="str">
        <f t="shared" si="0"/>
        <v/>
      </c>
      <c r="L44" s="20" t="str">
        <f>IF(C44="","",IF(COUNTIF('01_rules'!$A$2:$A$39,C44)=0,"rule 없음",""))</f>
        <v/>
      </c>
      <c r="M44" s="20" t="str">
        <f t="shared" si="1"/>
        <v/>
      </c>
      <c r="N44" s="20" t="str">
        <f t="shared" si="2"/>
        <v/>
      </c>
    </row>
    <row r="45" spans="1:14" ht="15" customHeight="1">
      <c r="A45" s="17" t="s">
        <v>3478</v>
      </c>
      <c r="B45" s="17" t="s">
        <v>117</v>
      </c>
      <c r="C45" s="17" t="s">
        <v>115</v>
      </c>
      <c r="D45" s="17" t="s">
        <v>3479</v>
      </c>
      <c r="E45" s="17" t="s">
        <v>706</v>
      </c>
      <c r="F45" s="17" t="s">
        <v>1947</v>
      </c>
      <c r="G45" s="17" t="s">
        <v>3480</v>
      </c>
      <c r="H45" s="17" t="s">
        <v>3481</v>
      </c>
      <c r="I45" s="19" t="s">
        <v>95</v>
      </c>
      <c r="J45" s="24"/>
      <c r="K45" s="20" t="str">
        <f t="shared" si="0"/>
        <v/>
      </c>
      <c r="L45" s="20" t="str">
        <f>IF(C45="","",IF(COUNTIF('01_rules'!$A$2:$A$39,C45)=0,"rule 없음",""))</f>
        <v/>
      </c>
      <c r="M45" s="20" t="str">
        <f t="shared" si="1"/>
        <v/>
      </c>
      <c r="N45" s="20" t="str">
        <f t="shared" si="2"/>
        <v/>
      </c>
    </row>
    <row r="46" spans="1:14" ht="15" customHeight="1">
      <c r="A46" s="17" t="s">
        <v>3482</v>
      </c>
      <c r="B46" s="17" t="s">
        <v>117</v>
      </c>
      <c r="C46" s="17" t="s">
        <v>334</v>
      </c>
      <c r="D46" s="17" t="s">
        <v>3483</v>
      </c>
      <c r="E46" s="17" t="s">
        <v>709</v>
      </c>
      <c r="F46" s="17" t="s">
        <v>3396</v>
      </c>
      <c r="G46" s="17" t="s">
        <v>3397</v>
      </c>
      <c r="H46" s="17" t="s">
        <v>3398</v>
      </c>
      <c r="I46" s="19" t="s">
        <v>95</v>
      </c>
      <c r="J46" s="24"/>
      <c r="K46" s="20" t="str">
        <f t="shared" si="0"/>
        <v/>
      </c>
      <c r="L46" s="20" t="str">
        <f>IF(C46="","",IF(COUNTIF('01_rules'!$A$2:$A$39,C46)=0,"rule 없음",""))</f>
        <v/>
      </c>
      <c r="M46" s="20" t="str">
        <f t="shared" si="1"/>
        <v/>
      </c>
      <c r="N46" s="20" t="str">
        <f t="shared" si="2"/>
        <v/>
      </c>
    </row>
    <row r="47" spans="1:14" ht="15" customHeight="1">
      <c r="A47" s="17" t="s">
        <v>3484</v>
      </c>
      <c r="B47" s="17" t="s">
        <v>117</v>
      </c>
      <c r="C47" s="17" t="s">
        <v>334</v>
      </c>
      <c r="D47" s="17" t="s">
        <v>3485</v>
      </c>
      <c r="E47" s="17" t="s">
        <v>712</v>
      </c>
      <c r="F47" s="17" t="s">
        <v>3396</v>
      </c>
      <c r="G47" s="17" t="s">
        <v>3397</v>
      </c>
      <c r="H47" s="17" t="s">
        <v>3398</v>
      </c>
      <c r="I47" s="19" t="s">
        <v>95</v>
      </c>
      <c r="J47" s="24"/>
      <c r="K47" s="20" t="str">
        <f t="shared" si="0"/>
        <v/>
      </c>
      <c r="L47" s="20" t="str">
        <f>IF(C47="","",IF(COUNTIF('01_rules'!$A$2:$A$39,C47)=0,"rule 없음",""))</f>
        <v/>
      </c>
      <c r="M47" s="20" t="str">
        <f t="shared" si="1"/>
        <v/>
      </c>
      <c r="N47" s="20" t="str">
        <f t="shared" si="2"/>
        <v/>
      </c>
    </row>
    <row r="48" spans="1:14" ht="15" customHeight="1">
      <c r="A48" s="17" t="s">
        <v>3486</v>
      </c>
      <c r="B48" s="17" t="s">
        <v>117</v>
      </c>
      <c r="C48" s="17" t="s">
        <v>334</v>
      </c>
      <c r="D48" s="17" t="s">
        <v>3487</v>
      </c>
      <c r="E48" s="17" t="s">
        <v>715</v>
      </c>
      <c r="F48" s="17" t="s">
        <v>3396</v>
      </c>
      <c r="G48" s="17" t="s">
        <v>3397</v>
      </c>
      <c r="H48" s="17" t="s">
        <v>3398</v>
      </c>
      <c r="I48" s="19" t="s">
        <v>95</v>
      </c>
      <c r="J48" s="24"/>
      <c r="K48" s="20" t="str">
        <f t="shared" si="0"/>
        <v/>
      </c>
      <c r="L48" s="20" t="str">
        <f>IF(C48="","",IF(COUNTIF('01_rules'!$A$2:$A$39,C48)=0,"rule 없음",""))</f>
        <v/>
      </c>
      <c r="M48" s="20" t="str">
        <f t="shared" si="1"/>
        <v/>
      </c>
      <c r="N48" s="20" t="str">
        <f t="shared" si="2"/>
        <v/>
      </c>
    </row>
    <row r="49" spans="1:14" ht="15" customHeight="1">
      <c r="A49" s="17" t="s">
        <v>3488</v>
      </c>
      <c r="B49" s="17" t="s">
        <v>117</v>
      </c>
      <c r="C49" s="17" t="s">
        <v>115</v>
      </c>
      <c r="D49" s="17" t="s">
        <v>3489</v>
      </c>
      <c r="E49" s="17" t="s">
        <v>718</v>
      </c>
      <c r="F49" s="17" t="s">
        <v>1963</v>
      </c>
      <c r="G49" s="17" t="s">
        <v>3490</v>
      </c>
      <c r="H49" s="17" t="s">
        <v>3491</v>
      </c>
      <c r="I49" s="19" t="s">
        <v>95</v>
      </c>
      <c r="J49" s="24"/>
      <c r="K49" s="20" t="str">
        <f t="shared" si="0"/>
        <v/>
      </c>
      <c r="L49" s="20" t="str">
        <f>IF(C49="","",IF(COUNTIF('01_rules'!$A$2:$A$39,C49)=0,"rule 없음",""))</f>
        <v/>
      </c>
      <c r="M49" s="20" t="str">
        <f t="shared" si="1"/>
        <v/>
      </c>
      <c r="N49" s="20" t="str">
        <f t="shared" si="2"/>
        <v/>
      </c>
    </row>
    <row r="50" spans="1:14" ht="15" customHeight="1">
      <c r="A50" s="17" t="s">
        <v>3492</v>
      </c>
      <c r="B50" s="17" t="s">
        <v>117</v>
      </c>
      <c r="C50" s="17" t="s">
        <v>115</v>
      </c>
      <c r="D50" s="17" t="s">
        <v>3493</v>
      </c>
      <c r="E50" s="17" t="s">
        <v>721</v>
      </c>
      <c r="F50" s="17" t="s">
        <v>1967</v>
      </c>
      <c r="G50" s="17" t="s">
        <v>3494</v>
      </c>
      <c r="H50" s="17" t="s">
        <v>3495</v>
      </c>
      <c r="I50" s="19" t="s">
        <v>95</v>
      </c>
      <c r="J50" s="24"/>
      <c r="K50" s="20" t="str">
        <f t="shared" si="0"/>
        <v/>
      </c>
      <c r="L50" s="20" t="str">
        <f>IF(C50="","",IF(COUNTIF('01_rules'!$A$2:$A$39,C50)=0,"rule 없음",""))</f>
        <v/>
      </c>
      <c r="M50" s="20" t="str">
        <f t="shared" si="1"/>
        <v/>
      </c>
      <c r="N50" s="20" t="str">
        <f t="shared" si="2"/>
        <v/>
      </c>
    </row>
    <row r="51" spans="1:14" ht="15" customHeight="1">
      <c r="A51" s="17" t="s">
        <v>3496</v>
      </c>
      <c r="B51" s="17" t="s">
        <v>117</v>
      </c>
      <c r="C51" s="17" t="s">
        <v>115</v>
      </c>
      <c r="D51" s="17" t="s">
        <v>3497</v>
      </c>
      <c r="E51" s="17" t="s">
        <v>724</v>
      </c>
      <c r="F51" s="17" t="s">
        <v>1971</v>
      </c>
      <c r="G51" s="17" t="s">
        <v>3498</v>
      </c>
      <c r="H51" s="17" t="s">
        <v>3499</v>
      </c>
      <c r="I51" s="19" t="s">
        <v>95</v>
      </c>
      <c r="J51" s="24"/>
      <c r="K51" s="20" t="str">
        <f t="shared" si="0"/>
        <v/>
      </c>
      <c r="L51" s="20" t="str">
        <f>IF(C51="","",IF(COUNTIF('01_rules'!$A$2:$A$39,C51)=0,"rule 없음",""))</f>
        <v/>
      </c>
      <c r="M51" s="20" t="str">
        <f t="shared" si="1"/>
        <v/>
      </c>
      <c r="N51" s="20" t="str">
        <f t="shared" si="2"/>
        <v/>
      </c>
    </row>
    <row r="52" spans="1:14" ht="15" customHeight="1">
      <c r="A52" s="17" t="s">
        <v>3500</v>
      </c>
      <c r="B52" s="17" t="s">
        <v>117</v>
      </c>
      <c r="C52" s="17" t="s">
        <v>122</v>
      </c>
      <c r="D52" s="17" t="s">
        <v>3501</v>
      </c>
      <c r="E52" s="17" t="s">
        <v>727</v>
      </c>
      <c r="F52" s="17" t="s">
        <v>3502</v>
      </c>
      <c r="G52" s="17" t="s">
        <v>3503</v>
      </c>
      <c r="H52" s="17" t="s">
        <v>3343</v>
      </c>
      <c r="I52" s="19" t="s">
        <v>95</v>
      </c>
      <c r="J52" s="24"/>
      <c r="K52" s="20" t="str">
        <f t="shared" si="0"/>
        <v/>
      </c>
      <c r="L52" s="20" t="str">
        <f>IF(C52="","",IF(COUNTIF('01_rules'!$A$2:$A$39,C52)=0,"rule 없음",""))</f>
        <v/>
      </c>
      <c r="M52" s="20" t="str">
        <f t="shared" si="1"/>
        <v/>
      </c>
      <c r="N52" s="20" t="str">
        <f t="shared" si="2"/>
        <v/>
      </c>
    </row>
    <row r="53" spans="1:14" ht="15" customHeight="1">
      <c r="A53" s="17" t="s">
        <v>3504</v>
      </c>
      <c r="B53" s="17" t="s">
        <v>117</v>
      </c>
      <c r="C53" s="17" t="s">
        <v>122</v>
      </c>
      <c r="D53" s="17" t="s">
        <v>3505</v>
      </c>
      <c r="E53" s="17" t="s">
        <v>730</v>
      </c>
      <c r="F53" s="17" t="s">
        <v>3506</v>
      </c>
      <c r="G53" s="17" t="s">
        <v>3507</v>
      </c>
      <c r="H53" s="17" t="s">
        <v>3343</v>
      </c>
      <c r="I53" s="19" t="s">
        <v>95</v>
      </c>
      <c r="J53" s="24"/>
      <c r="K53" s="20" t="str">
        <f t="shared" si="0"/>
        <v/>
      </c>
      <c r="L53" s="20" t="str">
        <f>IF(C53="","",IF(COUNTIF('01_rules'!$A$2:$A$39,C53)=0,"rule 없음",""))</f>
        <v/>
      </c>
      <c r="M53" s="20" t="str">
        <f t="shared" si="1"/>
        <v/>
      </c>
      <c r="N53" s="20" t="str">
        <f t="shared" si="2"/>
        <v/>
      </c>
    </row>
    <row r="54" spans="1:14" ht="15" customHeight="1">
      <c r="A54" s="17" t="s">
        <v>3508</v>
      </c>
      <c r="B54" s="17" t="s">
        <v>117</v>
      </c>
      <c r="C54" s="17" t="s">
        <v>334</v>
      </c>
      <c r="D54" s="17" t="s">
        <v>3509</v>
      </c>
      <c r="E54" s="17" t="s">
        <v>733</v>
      </c>
      <c r="F54" s="17" t="s">
        <v>3396</v>
      </c>
      <c r="G54" s="17" t="s">
        <v>3397</v>
      </c>
      <c r="H54" s="17" t="s">
        <v>3398</v>
      </c>
      <c r="I54" s="19" t="s">
        <v>95</v>
      </c>
      <c r="J54" s="24"/>
      <c r="K54" s="20" t="str">
        <f t="shared" si="0"/>
        <v/>
      </c>
      <c r="L54" s="20" t="str">
        <f>IF(C54="","",IF(COUNTIF('01_rules'!$A$2:$A$39,C54)=0,"rule 없음",""))</f>
        <v/>
      </c>
      <c r="M54" s="20" t="str">
        <f t="shared" si="1"/>
        <v/>
      </c>
      <c r="N54" s="20" t="str">
        <f t="shared" si="2"/>
        <v/>
      </c>
    </row>
    <row r="55" spans="1:14" ht="15" customHeight="1">
      <c r="A55" s="17" t="s">
        <v>3510</v>
      </c>
      <c r="B55" s="17" t="s">
        <v>117</v>
      </c>
      <c r="C55" s="17" t="s">
        <v>122</v>
      </c>
      <c r="D55" s="17" t="s">
        <v>3511</v>
      </c>
      <c r="E55" s="17" t="s">
        <v>736</v>
      </c>
      <c r="F55" s="17" t="s">
        <v>3512</v>
      </c>
      <c r="G55" s="17" t="s">
        <v>3513</v>
      </c>
      <c r="H55" s="17" t="s">
        <v>3343</v>
      </c>
      <c r="I55" s="19" t="s">
        <v>95</v>
      </c>
      <c r="J55" s="24"/>
      <c r="K55" s="20" t="str">
        <f t="shared" si="0"/>
        <v/>
      </c>
      <c r="L55" s="20" t="str">
        <f>IF(C55="","",IF(COUNTIF('01_rules'!$A$2:$A$39,C55)=0,"rule 없음",""))</f>
        <v/>
      </c>
      <c r="M55" s="20" t="str">
        <f t="shared" si="1"/>
        <v/>
      </c>
      <c r="N55" s="20" t="str">
        <f t="shared" si="2"/>
        <v/>
      </c>
    </row>
    <row r="56" spans="1:14" ht="15" customHeight="1">
      <c r="A56" s="17" t="s">
        <v>3514</v>
      </c>
      <c r="B56" s="17" t="s">
        <v>117</v>
      </c>
      <c r="C56" s="17" t="s">
        <v>334</v>
      </c>
      <c r="D56" s="17" t="s">
        <v>3515</v>
      </c>
      <c r="E56" s="17" t="s">
        <v>739</v>
      </c>
      <c r="F56" s="17" t="s">
        <v>3396</v>
      </c>
      <c r="G56" s="17" t="s">
        <v>3397</v>
      </c>
      <c r="H56" s="17" t="s">
        <v>3398</v>
      </c>
      <c r="I56" s="19" t="s">
        <v>95</v>
      </c>
      <c r="J56" s="24"/>
      <c r="K56" s="20" t="str">
        <f t="shared" si="0"/>
        <v/>
      </c>
      <c r="L56" s="20" t="str">
        <f>IF(C56="","",IF(COUNTIF('01_rules'!$A$2:$A$39,C56)=0,"rule 없음",""))</f>
        <v/>
      </c>
      <c r="M56" s="20" t="str">
        <f t="shared" si="1"/>
        <v/>
      </c>
      <c r="N56" s="20" t="str">
        <f t="shared" si="2"/>
        <v/>
      </c>
    </row>
    <row r="57" spans="1:14" ht="23.25" customHeight="1">
      <c r="A57" s="17" t="s">
        <v>3516</v>
      </c>
      <c r="B57" s="17" t="s">
        <v>117</v>
      </c>
      <c r="C57" s="17" t="s">
        <v>334</v>
      </c>
      <c r="D57" s="17" t="s">
        <v>3517</v>
      </c>
      <c r="E57" s="17" t="s">
        <v>742</v>
      </c>
      <c r="F57" s="17" t="s">
        <v>3396</v>
      </c>
      <c r="G57" s="17" t="s">
        <v>3397</v>
      </c>
      <c r="H57" s="17" t="s">
        <v>3398</v>
      </c>
      <c r="I57" s="19" t="s">
        <v>95</v>
      </c>
      <c r="J57" s="24"/>
      <c r="K57" s="20" t="str">
        <f t="shared" si="0"/>
        <v/>
      </c>
      <c r="L57" s="20" t="str">
        <f>IF(C57="","",IF(COUNTIF('01_rules'!$A$2:$A$39,C57)=0,"rule 없음",""))</f>
        <v/>
      </c>
      <c r="M57" s="20" t="str">
        <f t="shared" si="1"/>
        <v/>
      </c>
      <c r="N57" s="20" t="str">
        <f t="shared" si="2"/>
        <v/>
      </c>
    </row>
    <row r="58" spans="1:14" ht="23.25" customHeight="1">
      <c r="A58" s="17" t="s">
        <v>3518</v>
      </c>
      <c r="B58" s="17" t="s">
        <v>117</v>
      </c>
      <c r="C58" s="17" t="s">
        <v>310</v>
      </c>
      <c r="D58" s="17" t="s">
        <v>3519</v>
      </c>
      <c r="E58" s="17" t="s">
        <v>745</v>
      </c>
      <c r="F58" s="17" t="s">
        <v>3397</v>
      </c>
      <c r="G58" s="17" t="s">
        <v>3396</v>
      </c>
      <c r="H58" s="17" t="s">
        <v>3398</v>
      </c>
      <c r="I58" s="19" t="s">
        <v>95</v>
      </c>
      <c r="J58" s="24"/>
      <c r="K58" s="20" t="str">
        <f t="shared" si="0"/>
        <v/>
      </c>
      <c r="L58" s="20" t="str">
        <f>IF(C58="","",IF(COUNTIF('01_rules'!$A$2:$A$39,C58)=0,"rule 없음",""))</f>
        <v/>
      </c>
      <c r="M58" s="20" t="str">
        <f t="shared" si="1"/>
        <v/>
      </c>
      <c r="N58" s="20" t="str">
        <f t="shared" si="2"/>
        <v/>
      </c>
    </row>
    <row r="59" spans="1:14" ht="15" customHeight="1">
      <c r="A59" s="17" t="s">
        <v>3520</v>
      </c>
      <c r="B59" s="17" t="s">
        <v>117</v>
      </c>
      <c r="C59" s="17" t="s">
        <v>334</v>
      </c>
      <c r="D59" s="17" t="s">
        <v>3521</v>
      </c>
      <c r="E59" s="17" t="s">
        <v>748</v>
      </c>
      <c r="F59" s="17" t="s">
        <v>3396</v>
      </c>
      <c r="G59" s="17" t="s">
        <v>3397</v>
      </c>
      <c r="H59" s="17" t="s">
        <v>3398</v>
      </c>
      <c r="I59" s="19" t="s">
        <v>95</v>
      </c>
      <c r="J59" s="24"/>
      <c r="K59" s="20" t="str">
        <f t="shared" si="0"/>
        <v/>
      </c>
      <c r="L59" s="20" t="str">
        <f>IF(C59="","",IF(COUNTIF('01_rules'!$A$2:$A$39,C59)=0,"rule 없음",""))</f>
        <v/>
      </c>
      <c r="M59" s="20" t="str">
        <f t="shared" si="1"/>
        <v/>
      </c>
      <c r="N59" s="20" t="str">
        <f t="shared" si="2"/>
        <v/>
      </c>
    </row>
    <row r="60" spans="1:14" ht="34.5" customHeight="1">
      <c r="A60" s="17" t="s">
        <v>3522</v>
      </c>
      <c r="B60" s="17" t="s">
        <v>117</v>
      </c>
      <c r="C60" s="17" t="s">
        <v>334</v>
      </c>
      <c r="D60" s="17" t="s">
        <v>3523</v>
      </c>
      <c r="E60" s="17" t="s">
        <v>751</v>
      </c>
      <c r="F60" s="17" t="s">
        <v>3396</v>
      </c>
      <c r="G60" s="17" t="s">
        <v>3397</v>
      </c>
      <c r="H60" s="17" t="s">
        <v>3398</v>
      </c>
      <c r="I60" s="19" t="s">
        <v>95</v>
      </c>
      <c r="J60" s="24"/>
      <c r="K60" s="20" t="str">
        <f t="shared" si="0"/>
        <v/>
      </c>
      <c r="L60" s="20" t="str">
        <f>IF(C60="","",IF(COUNTIF('01_rules'!$A$2:$A$39,C60)=0,"rule 없음",""))</f>
        <v/>
      </c>
      <c r="M60" s="20" t="str">
        <f t="shared" si="1"/>
        <v/>
      </c>
      <c r="N60" s="20" t="str">
        <f t="shared" si="2"/>
        <v/>
      </c>
    </row>
    <row r="61" spans="1:14" ht="15" customHeight="1">
      <c r="A61" s="17" t="s">
        <v>3524</v>
      </c>
      <c r="B61" s="17" t="s">
        <v>117</v>
      </c>
      <c r="C61" s="17" t="s">
        <v>334</v>
      </c>
      <c r="D61" s="17" t="s">
        <v>3525</v>
      </c>
      <c r="E61" s="17" t="s">
        <v>754</v>
      </c>
      <c r="F61" s="17" t="s">
        <v>3396</v>
      </c>
      <c r="G61" s="17" t="s">
        <v>3397</v>
      </c>
      <c r="H61" s="17" t="s">
        <v>3398</v>
      </c>
      <c r="I61" s="19" t="s">
        <v>95</v>
      </c>
      <c r="J61" s="24"/>
      <c r="K61" s="20" t="str">
        <f t="shared" si="0"/>
        <v/>
      </c>
      <c r="L61" s="20" t="str">
        <f>IF(C61="","",IF(COUNTIF('01_rules'!$A$2:$A$39,C61)=0,"rule 없음",""))</f>
        <v/>
      </c>
      <c r="M61" s="20" t="str">
        <f t="shared" si="1"/>
        <v/>
      </c>
      <c r="N61" s="20" t="str">
        <f t="shared" si="2"/>
        <v/>
      </c>
    </row>
    <row r="62" spans="1:14" ht="15" customHeight="1">
      <c r="A62" s="17" t="s">
        <v>3526</v>
      </c>
      <c r="B62" s="17" t="s">
        <v>130</v>
      </c>
      <c r="C62" s="17" t="s">
        <v>128</v>
      </c>
      <c r="D62" s="17" t="s">
        <v>3527</v>
      </c>
      <c r="E62" s="17" t="s">
        <v>757</v>
      </c>
      <c r="F62" s="17" t="s">
        <v>3528</v>
      </c>
      <c r="G62" s="17" t="s">
        <v>3529</v>
      </c>
      <c r="H62" s="17" t="s">
        <v>3530</v>
      </c>
      <c r="I62" s="19" t="s">
        <v>95</v>
      </c>
      <c r="J62" s="24"/>
      <c r="K62" s="20" t="str">
        <f t="shared" si="0"/>
        <v/>
      </c>
      <c r="L62" s="20" t="str">
        <f>IF(C62="","",IF(COUNTIF('01_rules'!$A$2:$A$39,C62)=0,"rule 없음",""))</f>
        <v/>
      </c>
      <c r="M62" s="20" t="str">
        <f t="shared" si="1"/>
        <v/>
      </c>
      <c r="N62" s="20" t="str">
        <f t="shared" si="2"/>
        <v/>
      </c>
    </row>
    <row r="63" spans="1:14" ht="23.25" customHeight="1">
      <c r="A63" s="17" t="s">
        <v>3531</v>
      </c>
      <c r="B63" s="17" t="s">
        <v>130</v>
      </c>
      <c r="C63" s="17" t="s">
        <v>128</v>
      </c>
      <c r="D63" s="17" t="s">
        <v>3532</v>
      </c>
      <c r="E63" s="17" t="s">
        <v>760</v>
      </c>
      <c r="F63" s="17" t="s">
        <v>3533</v>
      </c>
      <c r="G63" s="17" t="s">
        <v>3534</v>
      </c>
      <c r="H63" s="17" t="s">
        <v>3535</v>
      </c>
      <c r="I63" s="19" t="s">
        <v>95</v>
      </c>
      <c r="J63" s="24"/>
      <c r="K63" s="20" t="str">
        <f t="shared" si="0"/>
        <v/>
      </c>
      <c r="L63" s="20" t="str">
        <f>IF(C63="","",IF(COUNTIF('01_rules'!$A$2:$A$39,C63)=0,"rule 없음",""))</f>
        <v/>
      </c>
      <c r="M63" s="20" t="str">
        <f t="shared" si="1"/>
        <v/>
      </c>
      <c r="N63" s="20" t="str">
        <f t="shared" si="2"/>
        <v/>
      </c>
    </row>
    <row r="64" spans="1:14" ht="15" customHeight="1">
      <c r="A64" s="17" t="s">
        <v>3536</v>
      </c>
      <c r="B64" s="17" t="s">
        <v>130</v>
      </c>
      <c r="C64" s="17" t="s">
        <v>128</v>
      </c>
      <c r="D64" s="17" t="s">
        <v>3537</v>
      </c>
      <c r="E64" s="17" t="s">
        <v>763</v>
      </c>
      <c r="F64" s="17" t="s">
        <v>3538</v>
      </c>
      <c r="G64" s="17" t="s">
        <v>3539</v>
      </c>
      <c r="H64" s="17" t="s">
        <v>3540</v>
      </c>
      <c r="I64" s="19" t="s">
        <v>95</v>
      </c>
      <c r="J64" s="24"/>
      <c r="K64" s="20" t="str">
        <f t="shared" si="0"/>
        <v/>
      </c>
      <c r="L64" s="20" t="str">
        <f>IF(C64="","",IF(COUNTIF('01_rules'!$A$2:$A$39,C64)=0,"rule 없음",""))</f>
        <v/>
      </c>
      <c r="M64" s="20" t="str">
        <f t="shared" si="1"/>
        <v/>
      </c>
      <c r="N64" s="20" t="str">
        <f t="shared" si="2"/>
        <v/>
      </c>
    </row>
    <row r="65" spans="1:14" ht="15" customHeight="1">
      <c r="A65" s="17" t="s">
        <v>3541</v>
      </c>
      <c r="B65" s="17" t="s">
        <v>130</v>
      </c>
      <c r="C65" s="17" t="s">
        <v>128</v>
      </c>
      <c r="D65" s="17" t="s">
        <v>3542</v>
      </c>
      <c r="E65" s="17" t="s">
        <v>766</v>
      </c>
      <c r="F65" s="17" t="s">
        <v>3543</v>
      </c>
      <c r="G65" s="17" t="s">
        <v>3544</v>
      </c>
      <c r="H65" s="17" t="s">
        <v>3545</v>
      </c>
      <c r="I65" s="19" t="s">
        <v>95</v>
      </c>
      <c r="J65" s="24"/>
      <c r="K65" s="20" t="str">
        <f t="shared" si="0"/>
        <v/>
      </c>
      <c r="L65" s="20" t="str">
        <f>IF(C65="","",IF(COUNTIF('01_rules'!$A$2:$A$39,C65)=0,"rule 없음",""))</f>
        <v/>
      </c>
      <c r="M65" s="20" t="str">
        <f t="shared" si="1"/>
        <v/>
      </c>
      <c r="N65" s="20" t="str">
        <f t="shared" si="2"/>
        <v/>
      </c>
    </row>
    <row r="66" spans="1:14" ht="15" customHeight="1">
      <c r="A66" s="17" t="s">
        <v>3546</v>
      </c>
      <c r="B66" s="17" t="s">
        <v>130</v>
      </c>
      <c r="C66" s="17" t="s">
        <v>128</v>
      </c>
      <c r="D66" s="17" t="s">
        <v>3547</v>
      </c>
      <c r="E66" s="17" t="s">
        <v>769</v>
      </c>
      <c r="F66" s="17" t="s">
        <v>3548</v>
      </c>
      <c r="G66" s="17" t="s">
        <v>3549</v>
      </c>
      <c r="H66" s="17" t="s">
        <v>3550</v>
      </c>
      <c r="I66" s="19" t="s">
        <v>95</v>
      </c>
      <c r="J66" s="24"/>
      <c r="K66" s="20" t="str">
        <f t="shared" ref="K66:K129" si="3">IF(A66="","",IF(COUNTIF($A$2:$A$401,A66)&gt;1,"중복",""))</f>
        <v/>
      </c>
      <c r="L66" s="20" t="str">
        <f>IF(C66="","",IF(COUNTIF('01_rules'!$A$2:$A$39,C66)=0,"rule 없음",""))</f>
        <v/>
      </c>
      <c r="M66" s="20" t="str">
        <f t="shared" ref="M66:M129" si="4">IF(D66="","",IF(D66=E66,"error=correct",""))</f>
        <v/>
      </c>
      <c r="N66" s="20" t="str">
        <f t="shared" ref="N66:N129" si="5">IF(H66="","",IF(LEN(H66)-LEN(SUBSTITUTE(H66,";",""))&lt;&gt;2,"보기 3개 아님",""))</f>
        <v/>
      </c>
    </row>
    <row r="67" spans="1:14" ht="15" customHeight="1">
      <c r="A67" s="17" t="s">
        <v>3551</v>
      </c>
      <c r="B67" s="17" t="s">
        <v>130</v>
      </c>
      <c r="C67" s="17" t="s">
        <v>128</v>
      </c>
      <c r="D67" s="17" t="s">
        <v>3552</v>
      </c>
      <c r="E67" s="17" t="s">
        <v>772</v>
      </c>
      <c r="F67" s="17" t="s">
        <v>3528</v>
      </c>
      <c r="G67" s="17" t="s">
        <v>3529</v>
      </c>
      <c r="H67" s="17" t="s">
        <v>3530</v>
      </c>
      <c r="I67" s="19" t="s">
        <v>95</v>
      </c>
      <c r="J67" s="24"/>
      <c r="K67" s="20" t="str">
        <f t="shared" si="3"/>
        <v/>
      </c>
      <c r="L67" s="20" t="str">
        <f>IF(C67="","",IF(COUNTIF('01_rules'!$A$2:$A$39,C67)=0,"rule 없음",""))</f>
        <v/>
      </c>
      <c r="M67" s="20" t="str">
        <f t="shared" si="4"/>
        <v/>
      </c>
      <c r="N67" s="20" t="str">
        <f t="shared" si="5"/>
        <v/>
      </c>
    </row>
    <row r="68" spans="1:14" ht="15" customHeight="1">
      <c r="A68" s="17" t="s">
        <v>3553</v>
      </c>
      <c r="B68" s="17" t="s">
        <v>130</v>
      </c>
      <c r="C68" s="17" t="s">
        <v>128</v>
      </c>
      <c r="D68" s="17" t="s">
        <v>3554</v>
      </c>
      <c r="E68" s="17" t="s">
        <v>775</v>
      </c>
      <c r="F68" s="17" t="s">
        <v>3555</v>
      </c>
      <c r="G68" s="17" t="s">
        <v>3556</v>
      </c>
      <c r="H68" s="17" t="s">
        <v>3557</v>
      </c>
      <c r="I68" s="19" t="s">
        <v>95</v>
      </c>
      <c r="J68" s="24"/>
      <c r="K68" s="20" t="str">
        <f t="shared" si="3"/>
        <v/>
      </c>
      <c r="L68" s="20" t="str">
        <f>IF(C68="","",IF(COUNTIF('01_rules'!$A$2:$A$39,C68)=0,"rule 없음",""))</f>
        <v/>
      </c>
      <c r="M68" s="20" t="str">
        <f t="shared" si="4"/>
        <v/>
      </c>
      <c r="N68" s="20" t="str">
        <f t="shared" si="5"/>
        <v/>
      </c>
    </row>
    <row r="69" spans="1:14" ht="15" customHeight="1">
      <c r="A69" s="17" t="s">
        <v>3558</v>
      </c>
      <c r="B69" s="17" t="s">
        <v>130</v>
      </c>
      <c r="C69" s="17" t="s">
        <v>128</v>
      </c>
      <c r="D69" s="17" t="s">
        <v>3559</v>
      </c>
      <c r="E69" s="17" t="s">
        <v>778</v>
      </c>
      <c r="F69" s="17" t="s">
        <v>3533</v>
      </c>
      <c r="G69" s="17" t="s">
        <v>3534</v>
      </c>
      <c r="H69" s="17" t="s">
        <v>3535</v>
      </c>
      <c r="I69" s="19" t="s">
        <v>95</v>
      </c>
      <c r="J69" s="24"/>
      <c r="K69" s="20" t="str">
        <f t="shared" si="3"/>
        <v/>
      </c>
      <c r="L69" s="20" t="str">
        <f>IF(C69="","",IF(COUNTIF('01_rules'!$A$2:$A$39,C69)=0,"rule 없음",""))</f>
        <v/>
      </c>
      <c r="M69" s="20" t="str">
        <f t="shared" si="4"/>
        <v/>
      </c>
      <c r="N69" s="20" t="str">
        <f t="shared" si="5"/>
        <v/>
      </c>
    </row>
    <row r="70" spans="1:14" ht="15" customHeight="1">
      <c r="A70" s="17" t="s">
        <v>3560</v>
      </c>
      <c r="B70" s="17" t="s">
        <v>130</v>
      </c>
      <c r="C70" s="17" t="s">
        <v>128</v>
      </c>
      <c r="D70" s="17" t="s">
        <v>3561</v>
      </c>
      <c r="E70" s="17" t="s">
        <v>781</v>
      </c>
      <c r="F70" s="17" t="s">
        <v>3528</v>
      </c>
      <c r="G70" s="17" t="s">
        <v>3529</v>
      </c>
      <c r="H70" s="17" t="s">
        <v>3530</v>
      </c>
      <c r="I70" s="19" t="s">
        <v>95</v>
      </c>
      <c r="J70" s="24"/>
      <c r="K70" s="20" t="str">
        <f t="shared" si="3"/>
        <v/>
      </c>
      <c r="L70" s="20" t="str">
        <f>IF(C70="","",IF(COUNTIF('01_rules'!$A$2:$A$39,C70)=0,"rule 없음",""))</f>
        <v/>
      </c>
      <c r="M70" s="20" t="str">
        <f t="shared" si="4"/>
        <v/>
      </c>
      <c r="N70" s="20" t="str">
        <f t="shared" si="5"/>
        <v/>
      </c>
    </row>
    <row r="71" spans="1:14" ht="23.25" customHeight="1">
      <c r="A71" s="17" t="s">
        <v>3562</v>
      </c>
      <c r="B71" s="17" t="s">
        <v>130</v>
      </c>
      <c r="C71" s="17" t="s">
        <v>128</v>
      </c>
      <c r="D71" s="17" t="s">
        <v>3563</v>
      </c>
      <c r="E71" s="17" t="s">
        <v>784</v>
      </c>
      <c r="F71" s="17" t="s">
        <v>3533</v>
      </c>
      <c r="G71" s="17" t="s">
        <v>3534</v>
      </c>
      <c r="H71" s="17" t="s">
        <v>3535</v>
      </c>
      <c r="I71" s="19" t="s">
        <v>95</v>
      </c>
      <c r="J71" s="24"/>
      <c r="K71" s="20" t="str">
        <f t="shared" si="3"/>
        <v/>
      </c>
      <c r="L71" s="20" t="str">
        <f>IF(C71="","",IF(COUNTIF('01_rules'!$A$2:$A$39,C71)=0,"rule 없음",""))</f>
        <v/>
      </c>
      <c r="M71" s="20" t="str">
        <f t="shared" si="4"/>
        <v/>
      </c>
      <c r="N71" s="20" t="str">
        <f t="shared" si="5"/>
        <v/>
      </c>
    </row>
    <row r="72" spans="1:14" ht="15" customHeight="1">
      <c r="A72" s="17" t="s">
        <v>3564</v>
      </c>
      <c r="B72" s="17" t="s">
        <v>130</v>
      </c>
      <c r="C72" s="17" t="s">
        <v>135</v>
      </c>
      <c r="D72" s="17" t="s">
        <v>3565</v>
      </c>
      <c r="E72" s="17" t="s">
        <v>787</v>
      </c>
      <c r="F72" s="17" t="s">
        <v>3566</v>
      </c>
      <c r="G72" s="17" t="s">
        <v>3567</v>
      </c>
      <c r="H72" s="17" t="s">
        <v>3568</v>
      </c>
      <c r="I72" s="19" t="s">
        <v>95</v>
      </c>
      <c r="J72" s="24"/>
      <c r="K72" s="20" t="str">
        <f t="shared" si="3"/>
        <v/>
      </c>
      <c r="L72" s="20" t="str">
        <f>IF(C72="","",IF(COUNTIF('01_rules'!$A$2:$A$39,C72)=0,"rule 없음",""))</f>
        <v/>
      </c>
      <c r="M72" s="20" t="str">
        <f t="shared" si="4"/>
        <v/>
      </c>
      <c r="N72" s="20" t="str">
        <f t="shared" si="5"/>
        <v/>
      </c>
    </row>
    <row r="73" spans="1:14" ht="23.25" customHeight="1">
      <c r="A73" s="17" t="s">
        <v>3569</v>
      </c>
      <c r="B73" s="17" t="s">
        <v>130</v>
      </c>
      <c r="C73" s="17" t="s">
        <v>135</v>
      </c>
      <c r="D73" s="17" t="s">
        <v>3570</v>
      </c>
      <c r="E73" s="17" t="s">
        <v>790</v>
      </c>
      <c r="F73" s="17" t="s">
        <v>3566</v>
      </c>
      <c r="G73" s="17" t="s">
        <v>3567</v>
      </c>
      <c r="H73" s="17" t="s">
        <v>3568</v>
      </c>
      <c r="I73" s="19" t="s">
        <v>95</v>
      </c>
      <c r="J73" s="24"/>
      <c r="K73" s="20" t="str">
        <f t="shared" si="3"/>
        <v/>
      </c>
      <c r="L73" s="20" t="str">
        <f>IF(C73="","",IF(COUNTIF('01_rules'!$A$2:$A$39,C73)=0,"rule 없음",""))</f>
        <v/>
      </c>
      <c r="M73" s="20" t="str">
        <f t="shared" si="4"/>
        <v/>
      </c>
      <c r="N73" s="20" t="str">
        <f t="shared" si="5"/>
        <v/>
      </c>
    </row>
    <row r="74" spans="1:14" ht="23.25" customHeight="1">
      <c r="A74" s="17" t="s">
        <v>3571</v>
      </c>
      <c r="B74" s="17" t="s">
        <v>130</v>
      </c>
      <c r="C74" s="17" t="s">
        <v>135</v>
      </c>
      <c r="D74" s="17" t="s">
        <v>3572</v>
      </c>
      <c r="E74" s="17" t="s">
        <v>793</v>
      </c>
      <c r="F74" s="17" t="s">
        <v>3566</v>
      </c>
      <c r="G74" s="17" t="s">
        <v>3567</v>
      </c>
      <c r="H74" s="17" t="s">
        <v>3568</v>
      </c>
      <c r="I74" s="19" t="s">
        <v>95</v>
      </c>
      <c r="J74" s="24"/>
      <c r="K74" s="20" t="str">
        <f t="shared" si="3"/>
        <v/>
      </c>
      <c r="L74" s="20" t="str">
        <f>IF(C74="","",IF(COUNTIF('01_rules'!$A$2:$A$39,C74)=0,"rule 없음",""))</f>
        <v/>
      </c>
      <c r="M74" s="20" t="str">
        <f t="shared" si="4"/>
        <v/>
      </c>
      <c r="N74" s="20" t="str">
        <f t="shared" si="5"/>
        <v/>
      </c>
    </row>
    <row r="75" spans="1:14" ht="15" customHeight="1">
      <c r="A75" s="17" t="s">
        <v>3573</v>
      </c>
      <c r="B75" s="17" t="s">
        <v>130</v>
      </c>
      <c r="C75" s="17" t="s">
        <v>135</v>
      </c>
      <c r="D75" s="17" t="s">
        <v>3574</v>
      </c>
      <c r="E75" s="17" t="s">
        <v>796</v>
      </c>
      <c r="F75" s="17" t="s">
        <v>3566</v>
      </c>
      <c r="G75" s="17" t="s">
        <v>3567</v>
      </c>
      <c r="H75" s="17" t="s">
        <v>3568</v>
      </c>
      <c r="I75" s="19" t="s">
        <v>95</v>
      </c>
      <c r="J75" s="24"/>
      <c r="K75" s="20" t="str">
        <f t="shared" si="3"/>
        <v/>
      </c>
      <c r="L75" s="20" t="str">
        <f>IF(C75="","",IF(COUNTIF('01_rules'!$A$2:$A$39,C75)=0,"rule 없음",""))</f>
        <v/>
      </c>
      <c r="M75" s="20" t="str">
        <f t="shared" si="4"/>
        <v/>
      </c>
      <c r="N75" s="20" t="str">
        <f t="shared" si="5"/>
        <v/>
      </c>
    </row>
    <row r="76" spans="1:14" ht="23.25" customHeight="1">
      <c r="A76" s="17" t="s">
        <v>3575</v>
      </c>
      <c r="B76" s="17" t="s">
        <v>130</v>
      </c>
      <c r="C76" s="17" t="s">
        <v>135</v>
      </c>
      <c r="D76" s="17" t="s">
        <v>3576</v>
      </c>
      <c r="E76" s="17" t="s">
        <v>799</v>
      </c>
      <c r="F76" s="17" t="s">
        <v>3566</v>
      </c>
      <c r="G76" s="17" t="s">
        <v>3567</v>
      </c>
      <c r="H76" s="17" t="s">
        <v>3568</v>
      </c>
      <c r="I76" s="19" t="s">
        <v>95</v>
      </c>
      <c r="J76" s="24"/>
      <c r="K76" s="20" t="str">
        <f t="shared" si="3"/>
        <v/>
      </c>
      <c r="L76" s="20" t="str">
        <f>IF(C76="","",IF(COUNTIF('01_rules'!$A$2:$A$39,C76)=0,"rule 없음",""))</f>
        <v/>
      </c>
      <c r="M76" s="20" t="str">
        <f t="shared" si="4"/>
        <v/>
      </c>
      <c r="N76" s="20" t="str">
        <f t="shared" si="5"/>
        <v/>
      </c>
    </row>
    <row r="77" spans="1:14" ht="23.25" customHeight="1">
      <c r="A77" s="17" t="s">
        <v>3577</v>
      </c>
      <c r="B77" s="17" t="s">
        <v>130</v>
      </c>
      <c r="C77" s="17" t="s">
        <v>87</v>
      </c>
      <c r="D77" s="17" t="s">
        <v>3578</v>
      </c>
      <c r="E77" s="17" t="s">
        <v>802</v>
      </c>
      <c r="F77" s="17" t="s">
        <v>3579</v>
      </c>
      <c r="G77" s="17" t="s">
        <v>3580</v>
      </c>
      <c r="H77" s="17" t="s">
        <v>3343</v>
      </c>
      <c r="I77" s="19" t="s">
        <v>95</v>
      </c>
      <c r="J77" s="24"/>
      <c r="K77" s="20" t="str">
        <f t="shared" si="3"/>
        <v/>
      </c>
      <c r="L77" s="20" t="str">
        <f>IF(C77="","",IF(COUNTIF('01_rules'!$A$2:$A$39,C77)=0,"rule 없음",""))</f>
        <v/>
      </c>
      <c r="M77" s="20" t="str">
        <f t="shared" si="4"/>
        <v/>
      </c>
      <c r="N77" s="20" t="str">
        <f t="shared" si="5"/>
        <v/>
      </c>
    </row>
    <row r="78" spans="1:14" ht="15" customHeight="1">
      <c r="A78" s="17" t="s">
        <v>3581</v>
      </c>
      <c r="B78" s="17" t="s">
        <v>130</v>
      </c>
      <c r="C78" s="17" t="s">
        <v>334</v>
      </c>
      <c r="D78" s="17" t="s">
        <v>3582</v>
      </c>
      <c r="E78" s="17" t="s">
        <v>805</v>
      </c>
      <c r="F78" s="17" t="s">
        <v>3396</v>
      </c>
      <c r="G78" s="17" t="s">
        <v>3397</v>
      </c>
      <c r="H78" s="17" t="s">
        <v>3398</v>
      </c>
      <c r="I78" s="19" t="s">
        <v>95</v>
      </c>
      <c r="J78" s="24"/>
      <c r="K78" s="20" t="str">
        <f t="shared" si="3"/>
        <v/>
      </c>
      <c r="L78" s="20" t="str">
        <f>IF(C78="","",IF(COUNTIF('01_rules'!$A$2:$A$39,C78)=0,"rule 없음",""))</f>
        <v/>
      </c>
      <c r="M78" s="20" t="str">
        <f t="shared" si="4"/>
        <v/>
      </c>
      <c r="N78" s="20" t="str">
        <f t="shared" si="5"/>
        <v/>
      </c>
    </row>
    <row r="79" spans="1:14" ht="23.25" customHeight="1">
      <c r="A79" s="17" t="s">
        <v>3583</v>
      </c>
      <c r="B79" s="17" t="s">
        <v>130</v>
      </c>
      <c r="C79" s="17" t="s">
        <v>334</v>
      </c>
      <c r="D79" s="17" t="s">
        <v>3584</v>
      </c>
      <c r="E79" s="17" t="s">
        <v>808</v>
      </c>
      <c r="F79" s="17" t="s">
        <v>3396</v>
      </c>
      <c r="G79" s="17" t="s">
        <v>3397</v>
      </c>
      <c r="H79" s="17" t="s">
        <v>3398</v>
      </c>
      <c r="I79" s="19" t="s">
        <v>95</v>
      </c>
      <c r="J79" s="24"/>
      <c r="K79" s="20" t="str">
        <f t="shared" si="3"/>
        <v/>
      </c>
      <c r="L79" s="20" t="str">
        <f>IF(C79="","",IF(COUNTIF('01_rules'!$A$2:$A$39,C79)=0,"rule 없음",""))</f>
        <v/>
      </c>
      <c r="M79" s="20" t="str">
        <f t="shared" si="4"/>
        <v/>
      </c>
      <c r="N79" s="20" t="str">
        <f t="shared" si="5"/>
        <v/>
      </c>
    </row>
    <row r="80" spans="1:14" ht="15" customHeight="1">
      <c r="A80" s="17" t="s">
        <v>3585</v>
      </c>
      <c r="B80" s="17" t="s">
        <v>130</v>
      </c>
      <c r="C80" s="17" t="s">
        <v>334</v>
      </c>
      <c r="D80" s="17" t="s">
        <v>3586</v>
      </c>
      <c r="E80" s="17" t="s">
        <v>811</v>
      </c>
      <c r="F80" s="17" t="s">
        <v>3396</v>
      </c>
      <c r="G80" s="17" t="s">
        <v>3397</v>
      </c>
      <c r="H80" s="17" t="s">
        <v>3398</v>
      </c>
      <c r="I80" s="19" t="s">
        <v>95</v>
      </c>
      <c r="J80" s="24"/>
      <c r="K80" s="20" t="str">
        <f t="shared" si="3"/>
        <v/>
      </c>
      <c r="L80" s="20" t="str">
        <f>IF(C80="","",IF(COUNTIF('01_rules'!$A$2:$A$39,C80)=0,"rule 없음",""))</f>
        <v/>
      </c>
      <c r="M80" s="20" t="str">
        <f t="shared" si="4"/>
        <v/>
      </c>
      <c r="N80" s="20" t="str">
        <f t="shared" si="5"/>
        <v/>
      </c>
    </row>
    <row r="81" spans="1:14" ht="15" customHeight="1">
      <c r="A81" s="17" t="s">
        <v>3587</v>
      </c>
      <c r="B81" s="17" t="s">
        <v>130</v>
      </c>
      <c r="C81" s="17" t="s">
        <v>310</v>
      </c>
      <c r="D81" s="17" t="s">
        <v>3588</v>
      </c>
      <c r="E81" s="17" t="s">
        <v>814</v>
      </c>
      <c r="F81" s="17" t="s">
        <v>3397</v>
      </c>
      <c r="G81" s="17" t="s">
        <v>3396</v>
      </c>
      <c r="H81" s="17" t="s">
        <v>3398</v>
      </c>
      <c r="I81" s="19" t="s">
        <v>95</v>
      </c>
      <c r="J81" s="24"/>
      <c r="K81" s="20" t="str">
        <f t="shared" si="3"/>
        <v/>
      </c>
      <c r="L81" s="20" t="str">
        <f>IF(C81="","",IF(COUNTIF('01_rules'!$A$2:$A$39,C81)=0,"rule 없음",""))</f>
        <v/>
      </c>
      <c r="M81" s="20" t="str">
        <f t="shared" si="4"/>
        <v/>
      </c>
      <c r="N81" s="20" t="str">
        <f t="shared" si="5"/>
        <v/>
      </c>
    </row>
    <row r="82" spans="1:14" ht="15" customHeight="1">
      <c r="A82" s="17" t="s">
        <v>3589</v>
      </c>
      <c r="B82" s="17" t="s">
        <v>143</v>
      </c>
      <c r="C82" s="17" t="s">
        <v>310</v>
      </c>
      <c r="D82" s="17" t="s">
        <v>3590</v>
      </c>
      <c r="E82" s="17" t="s">
        <v>817</v>
      </c>
      <c r="F82" s="17" t="s">
        <v>3397</v>
      </c>
      <c r="G82" s="17" t="s">
        <v>3396</v>
      </c>
      <c r="H82" s="17" t="s">
        <v>3398</v>
      </c>
      <c r="I82" s="19" t="s">
        <v>95</v>
      </c>
      <c r="J82" s="24"/>
      <c r="K82" s="20" t="str">
        <f t="shared" si="3"/>
        <v/>
      </c>
      <c r="L82" s="20" t="str">
        <f>IF(C82="","",IF(COUNTIF('01_rules'!$A$2:$A$39,C82)=0,"rule 없음",""))</f>
        <v/>
      </c>
      <c r="M82" s="20" t="str">
        <f t="shared" si="4"/>
        <v/>
      </c>
      <c r="N82" s="20" t="str">
        <f t="shared" si="5"/>
        <v/>
      </c>
    </row>
    <row r="83" spans="1:14" ht="15" customHeight="1">
      <c r="A83" s="17" t="s">
        <v>3591</v>
      </c>
      <c r="B83" s="17" t="s">
        <v>143</v>
      </c>
      <c r="C83" s="17" t="s">
        <v>141</v>
      </c>
      <c r="D83" s="17" t="s">
        <v>3592</v>
      </c>
      <c r="E83" s="17" t="s">
        <v>820</v>
      </c>
      <c r="F83" s="17" t="s">
        <v>3593</v>
      </c>
      <c r="G83" s="17" t="s">
        <v>3594</v>
      </c>
      <c r="H83" s="17" t="s">
        <v>3595</v>
      </c>
      <c r="I83" s="19" t="s">
        <v>95</v>
      </c>
      <c r="J83" s="24"/>
      <c r="K83" s="20" t="str">
        <f t="shared" si="3"/>
        <v/>
      </c>
      <c r="L83" s="20" t="str">
        <f>IF(C83="","",IF(COUNTIF('01_rules'!$A$2:$A$39,C83)=0,"rule 없음",""))</f>
        <v/>
      </c>
      <c r="M83" s="20" t="str">
        <f t="shared" si="4"/>
        <v/>
      </c>
      <c r="N83" s="20" t="str">
        <f t="shared" si="5"/>
        <v/>
      </c>
    </row>
    <row r="84" spans="1:14" ht="15" customHeight="1">
      <c r="A84" s="17" t="s">
        <v>3596</v>
      </c>
      <c r="B84" s="17" t="s">
        <v>143</v>
      </c>
      <c r="C84" s="17" t="s">
        <v>141</v>
      </c>
      <c r="D84" s="17" t="s">
        <v>3597</v>
      </c>
      <c r="E84" s="17" t="s">
        <v>823</v>
      </c>
      <c r="F84" s="17" t="s">
        <v>3593</v>
      </c>
      <c r="G84" s="17" t="s">
        <v>3594</v>
      </c>
      <c r="H84" s="17" t="s">
        <v>3595</v>
      </c>
      <c r="I84" s="19" t="s">
        <v>95</v>
      </c>
      <c r="J84" s="24"/>
      <c r="K84" s="20" t="str">
        <f t="shared" si="3"/>
        <v/>
      </c>
      <c r="L84" s="20" t="str">
        <f>IF(C84="","",IF(COUNTIF('01_rules'!$A$2:$A$39,C84)=0,"rule 없음",""))</f>
        <v/>
      </c>
      <c r="M84" s="20" t="str">
        <f t="shared" si="4"/>
        <v/>
      </c>
      <c r="N84" s="20" t="str">
        <f t="shared" si="5"/>
        <v/>
      </c>
    </row>
    <row r="85" spans="1:14" ht="34.5" customHeight="1">
      <c r="A85" s="17" t="s">
        <v>3598</v>
      </c>
      <c r="B85" s="17" t="s">
        <v>143</v>
      </c>
      <c r="C85" s="17" t="s">
        <v>141</v>
      </c>
      <c r="D85" s="17" t="s">
        <v>147</v>
      </c>
      <c r="E85" s="17" t="s">
        <v>826</v>
      </c>
      <c r="F85" s="17" t="s">
        <v>3593</v>
      </c>
      <c r="G85" s="17" t="s">
        <v>3594</v>
      </c>
      <c r="H85" s="17" t="s">
        <v>3595</v>
      </c>
      <c r="I85" s="19" t="s">
        <v>95</v>
      </c>
      <c r="J85" s="24"/>
      <c r="K85" s="20" t="str">
        <f t="shared" si="3"/>
        <v/>
      </c>
      <c r="L85" s="20" t="str">
        <f>IF(C85="","",IF(COUNTIF('01_rules'!$A$2:$A$39,C85)=0,"rule 없음",""))</f>
        <v/>
      </c>
      <c r="M85" s="20" t="str">
        <f t="shared" si="4"/>
        <v/>
      </c>
      <c r="N85" s="20" t="str">
        <f t="shared" si="5"/>
        <v/>
      </c>
    </row>
    <row r="86" spans="1:14" ht="15" customHeight="1">
      <c r="A86" s="17" t="s">
        <v>3599</v>
      </c>
      <c r="B86" s="17" t="s">
        <v>143</v>
      </c>
      <c r="C86" s="17" t="s">
        <v>310</v>
      </c>
      <c r="D86" s="17" t="s">
        <v>3600</v>
      </c>
      <c r="E86" s="17" t="s">
        <v>829</v>
      </c>
      <c r="F86" s="17" t="s">
        <v>3397</v>
      </c>
      <c r="G86" s="17" t="s">
        <v>3396</v>
      </c>
      <c r="H86" s="17" t="s">
        <v>3398</v>
      </c>
      <c r="I86" s="19" t="s">
        <v>95</v>
      </c>
      <c r="J86" s="24"/>
      <c r="K86" s="20" t="str">
        <f t="shared" si="3"/>
        <v/>
      </c>
      <c r="L86" s="20" t="str">
        <f>IF(C86="","",IF(COUNTIF('01_rules'!$A$2:$A$39,C86)=0,"rule 없음",""))</f>
        <v/>
      </c>
      <c r="M86" s="20" t="str">
        <f t="shared" si="4"/>
        <v/>
      </c>
      <c r="N86" s="20" t="str">
        <f t="shared" si="5"/>
        <v/>
      </c>
    </row>
    <row r="87" spans="1:14" ht="15" customHeight="1">
      <c r="A87" s="17" t="s">
        <v>3601</v>
      </c>
      <c r="B87" s="17" t="s">
        <v>143</v>
      </c>
      <c r="C87" s="17" t="s">
        <v>148</v>
      </c>
      <c r="D87" s="17" t="s">
        <v>153</v>
      </c>
      <c r="E87" s="17" t="s">
        <v>832</v>
      </c>
      <c r="F87" s="17" t="s">
        <v>3602</v>
      </c>
      <c r="G87" s="17" t="s">
        <v>3397</v>
      </c>
      <c r="H87" s="17" t="s">
        <v>3398</v>
      </c>
      <c r="I87" s="19" t="s">
        <v>95</v>
      </c>
      <c r="J87" s="24"/>
      <c r="K87" s="20" t="str">
        <f t="shared" si="3"/>
        <v/>
      </c>
      <c r="L87" s="20" t="str">
        <f>IF(C87="","",IF(COUNTIF('01_rules'!$A$2:$A$39,C87)=0,"rule 없음",""))</f>
        <v/>
      </c>
      <c r="M87" s="20" t="str">
        <f t="shared" si="4"/>
        <v/>
      </c>
      <c r="N87" s="20" t="str">
        <f t="shared" si="5"/>
        <v/>
      </c>
    </row>
    <row r="88" spans="1:14" ht="15" customHeight="1">
      <c r="A88" s="17" t="s">
        <v>3603</v>
      </c>
      <c r="B88" s="17" t="s">
        <v>143</v>
      </c>
      <c r="C88" s="17" t="s">
        <v>148</v>
      </c>
      <c r="D88" s="17" t="s">
        <v>3604</v>
      </c>
      <c r="E88" s="17" t="s">
        <v>835</v>
      </c>
      <c r="F88" s="17" t="s">
        <v>3602</v>
      </c>
      <c r="G88" s="17" t="s">
        <v>3397</v>
      </c>
      <c r="H88" s="17" t="s">
        <v>3398</v>
      </c>
      <c r="I88" s="19" t="s">
        <v>95</v>
      </c>
      <c r="J88" s="24"/>
      <c r="K88" s="20" t="str">
        <f t="shared" si="3"/>
        <v/>
      </c>
      <c r="L88" s="20" t="str">
        <f>IF(C88="","",IF(COUNTIF('01_rules'!$A$2:$A$39,C88)=0,"rule 없음",""))</f>
        <v/>
      </c>
      <c r="M88" s="20" t="str">
        <f t="shared" si="4"/>
        <v/>
      </c>
      <c r="N88" s="20" t="str">
        <f t="shared" si="5"/>
        <v/>
      </c>
    </row>
    <row r="89" spans="1:14" ht="15" customHeight="1">
      <c r="A89" s="17" t="s">
        <v>3605</v>
      </c>
      <c r="B89" s="17" t="s">
        <v>143</v>
      </c>
      <c r="C89" s="17" t="s">
        <v>148</v>
      </c>
      <c r="D89" s="17" t="s">
        <v>3606</v>
      </c>
      <c r="E89" s="17" t="s">
        <v>838</v>
      </c>
      <c r="F89" s="17" t="s">
        <v>3602</v>
      </c>
      <c r="G89" s="17" t="s">
        <v>3397</v>
      </c>
      <c r="H89" s="17" t="s">
        <v>3398</v>
      </c>
      <c r="I89" s="19" t="s">
        <v>95</v>
      </c>
      <c r="J89" s="24"/>
      <c r="K89" s="20" t="str">
        <f t="shared" si="3"/>
        <v/>
      </c>
      <c r="L89" s="20" t="str">
        <f>IF(C89="","",IF(COUNTIF('01_rules'!$A$2:$A$39,C89)=0,"rule 없음",""))</f>
        <v/>
      </c>
      <c r="M89" s="20" t="str">
        <f t="shared" si="4"/>
        <v/>
      </c>
      <c r="N89" s="20" t="str">
        <f t="shared" si="5"/>
        <v/>
      </c>
    </row>
    <row r="90" spans="1:14" ht="15" customHeight="1">
      <c r="A90" s="17" t="s">
        <v>3607</v>
      </c>
      <c r="B90" s="17" t="s">
        <v>143</v>
      </c>
      <c r="C90" s="17" t="s">
        <v>148</v>
      </c>
      <c r="D90" s="17" t="s">
        <v>3608</v>
      </c>
      <c r="E90" s="17" t="s">
        <v>841</v>
      </c>
      <c r="F90" s="17" t="s">
        <v>3602</v>
      </c>
      <c r="G90" s="17" t="s">
        <v>3397</v>
      </c>
      <c r="H90" s="17" t="s">
        <v>3398</v>
      </c>
      <c r="I90" s="19" t="s">
        <v>95</v>
      </c>
      <c r="J90" s="24"/>
      <c r="K90" s="20" t="str">
        <f t="shared" si="3"/>
        <v/>
      </c>
      <c r="L90" s="20" t="str">
        <f>IF(C90="","",IF(COUNTIF('01_rules'!$A$2:$A$39,C90)=0,"rule 없음",""))</f>
        <v/>
      </c>
      <c r="M90" s="20" t="str">
        <f t="shared" si="4"/>
        <v/>
      </c>
      <c r="N90" s="20" t="str">
        <f t="shared" si="5"/>
        <v/>
      </c>
    </row>
    <row r="91" spans="1:14" ht="15" customHeight="1">
      <c r="A91" s="17" t="s">
        <v>3609</v>
      </c>
      <c r="B91" s="17" t="s">
        <v>143</v>
      </c>
      <c r="C91" s="17" t="s">
        <v>148</v>
      </c>
      <c r="D91" s="17" t="s">
        <v>3610</v>
      </c>
      <c r="E91" s="17" t="s">
        <v>844</v>
      </c>
      <c r="F91" s="17" t="s">
        <v>3602</v>
      </c>
      <c r="G91" s="17" t="s">
        <v>3397</v>
      </c>
      <c r="H91" s="17" t="s">
        <v>3398</v>
      </c>
      <c r="I91" s="19" t="s">
        <v>95</v>
      </c>
      <c r="J91" s="24"/>
      <c r="K91" s="20" t="str">
        <f t="shared" si="3"/>
        <v/>
      </c>
      <c r="L91" s="20" t="str">
        <f>IF(C91="","",IF(COUNTIF('01_rules'!$A$2:$A$39,C91)=0,"rule 없음",""))</f>
        <v/>
      </c>
      <c r="M91" s="20" t="str">
        <f t="shared" si="4"/>
        <v/>
      </c>
      <c r="N91" s="20" t="str">
        <f t="shared" si="5"/>
        <v/>
      </c>
    </row>
    <row r="92" spans="1:14" ht="15" customHeight="1">
      <c r="A92" s="17" t="s">
        <v>3611</v>
      </c>
      <c r="B92" s="17" t="s">
        <v>143</v>
      </c>
      <c r="C92" s="17" t="s">
        <v>334</v>
      </c>
      <c r="D92" s="17" t="s">
        <v>3612</v>
      </c>
      <c r="E92" s="17" t="s">
        <v>847</v>
      </c>
      <c r="F92" s="17" t="s">
        <v>3396</v>
      </c>
      <c r="G92" s="17" t="s">
        <v>3397</v>
      </c>
      <c r="H92" s="17" t="s">
        <v>3398</v>
      </c>
      <c r="I92" s="19" t="s">
        <v>95</v>
      </c>
      <c r="J92" s="24"/>
      <c r="K92" s="20" t="str">
        <f t="shared" si="3"/>
        <v/>
      </c>
      <c r="L92" s="20" t="str">
        <f>IF(C92="","",IF(COUNTIF('01_rules'!$A$2:$A$39,C92)=0,"rule 없음",""))</f>
        <v/>
      </c>
      <c r="M92" s="20" t="str">
        <f t="shared" si="4"/>
        <v/>
      </c>
      <c r="N92" s="20" t="str">
        <f t="shared" si="5"/>
        <v/>
      </c>
    </row>
    <row r="93" spans="1:14" ht="15" customHeight="1">
      <c r="A93" s="17" t="s">
        <v>3613</v>
      </c>
      <c r="B93" s="17" t="s">
        <v>143</v>
      </c>
      <c r="C93" s="17" t="s">
        <v>141</v>
      </c>
      <c r="D93" s="17" t="s">
        <v>3614</v>
      </c>
      <c r="E93" s="17" t="s">
        <v>850</v>
      </c>
      <c r="F93" s="17" t="s">
        <v>3593</v>
      </c>
      <c r="G93" s="17" t="s">
        <v>3594</v>
      </c>
      <c r="H93" s="17" t="s">
        <v>3595</v>
      </c>
      <c r="I93" s="19" t="s">
        <v>95</v>
      </c>
      <c r="J93" s="24"/>
      <c r="K93" s="20" t="str">
        <f t="shared" si="3"/>
        <v/>
      </c>
      <c r="L93" s="20" t="str">
        <f>IF(C93="","",IF(COUNTIF('01_rules'!$A$2:$A$39,C93)=0,"rule 없음",""))</f>
        <v/>
      </c>
      <c r="M93" s="20" t="str">
        <f t="shared" si="4"/>
        <v/>
      </c>
      <c r="N93" s="20" t="str">
        <f t="shared" si="5"/>
        <v/>
      </c>
    </row>
    <row r="94" spans="1:14" ht="15" customHeight="1">
      <c r="A94" s="17" t="s">
        <v>3615</v>
      </c>
      <c r="B94" s="17" t="s">
        <v>143</v>
      </c>
      <c r="C94" s="17" t="s">
        <v>334</v>
      </c>
      <c r="D94" s="17" t="s">
        <v>3616</v>
      </c>
      <c r="E94" s="17" t="s">
        <v>853</v>
      </c>
      <c r="F94" s="17" t="s">
        <v>3396</v>
      </c>
      <c r="G94" s="17" t="s">
        <v>3397</v>
      </c>
      <c r="H94" s="17" t="s">
        <v>3398</v>
      </c>
      <c r="I94" s="19" t="s">
        <v>95</v>
      </c>
      <c r="J94" s="24"/>
      <c r="K94" s="20" t="str">
        <f t="shared" si="3"/>
        <v/>
      </c>
      <c r="L94" s="20" t="str">
        <f>IF(C94="","",IF(COUNTIF('01_rules'!$A$2:$A$39,C94)=0,"rule 없음",""))</f>
        <v/>
      </c>
      <c r="M94" s="20" t="str">
        <f t="shared" si="4"/>
        <v/>
      </c>
      <c r="N94" s="20" t="str">
        <f t="shared" si="5"/>
        <v/>
      </c>
    </row>
    <row r="95" spans="1:14" ht="15" customHeight="1">
      <c r="A95" s="17" t="s">
        <v>3617</v>
      </c>
      <c r="B95" s="17" t="s">
        <v>143</v>
      </c>
      <c r="C95" s="17" t="s">
        <v>334</v>
      </c>
      <c r="D95" s="17" t="s">
        <v>3618</v>
      </c>
      <c r="E95" s="17" t="s">
        <v>856</v>
      </c>
      <c r="F95" s="17" t="s">
        <v>3396</v>
      </c>
      <c r="G95" s="17" t="s">
        <v>3397</v>
      </c>
      <c r="H95" s="17" t="s">
        <v>3398</v>
      </c>
      <c r="I95" s="19" t="s">
        <v>95</v>
      </c>
      <c r="J95" s="24"/>
      <c r="K95" s="20" t="str">
        <f t="shared" si="3"/>
        <v/>
      </c>
      <c r="L95" s="20" t="str">
        <f>IF(C95="","",IF(COUNTIF('01_rules'!$A$2:$A$39,C95)=0,"rule 없음",""))</f>
        <v/>
      </c>
      <c r="M95" s="20" t="str">
        <f t="shared" si="4"/>
        <v/>
      </c>
      <c r="N95" s="20" t="str">
        <f t="shared" si="5"/>
        <v/>
      </c>
    </row>
    <row r="96" spans="1:14" ht="15" customHeight="1">
      <c r="A96" s="17" t="s">
        <v>3619</v>
      </c>
      <c r="B96" s="17" t="s">
        <v>143</v>
      </c>
      <c r="C96" s="17" t="s">
        <v>334</v>
      </c>
      <c r="D96" s="17" t="s">
        <v>3620</v>
      </c>
      <c r="E96" s="17" t="s">
        <v>859</v>
      </c>
      <c r="F96" s="17" t="s">
        <v>3396</v>
      </c>
      <c r="G96" s="17" t="s">
        <v>3397</v>
      </c>
      <c r="H96" s="17" t="s">
        <v>3398</v>
      </c>
      <c r="I96" s="19" t="s">
        <v>95</v>
      </c>
      <c r="J96" s="24"/>
      <c r="K96" s="20" t="str">
        <f t="shared" si="3"/>
        <v/>
      </c>
      <c r="L96" s="20" t="str">
        <f>IF(C96="","",IF(COUNTIF('01_rules'!$A$2:$A$39,C96)=0,"rule 없음",""))</f>
        <v/>
      </c>
      <c r="M96" s="20" t="str">
        <f t="shared" si="4"/>
        <v/>
      </c>
      <c r="N96" s="20" t="str">
        <f t="shared" si="5"/>
        <v/>
      </c>
    </row>
    <row r="97" spans="1:14" ht="15" customHeight="1">
      <c r="A97" s="17" t="s">
        <v>3621</v>
      </c>
      <c r="B97" s="17" t="s">
        <v>143</v>
      </c>
      <c r="C97" s="17" t="s">
        <v>141</v>
      </c>
      <c r="D97" s="17" t="s">
        <v>3622</v>
      </c>
      <c r="E97" s="17" t="s">
        <v>862</v>
      </c>
      <c r="F97" s="17" t="s">
        <v>3623</v>
      </c>
      <c r="G97" s="17" t="s">
        <v>3624</v>
      </c>
      <c r="H97" s="17" t="s">
        <v>3625</v>
      </c>
      <c r="I97" s="19" t="s">
        <v>95</v>
      </c>
      <c r="J97" s="24"/>
      <c r="K97" s="20" t="str">
        <f t="shared" si="3"/>
        <v/>
      </c>
      <c r="L97" s="20" t="str">
        <f>IF(C97="","",IF(COUNTIF('01_rules'!$A$2:$A$39,C97)=0,"rule 없음",""))</f>
        <v/>
      </c>
      <c r="M97" s="20" t="str">
        <f t="shared" si="4"/>
        <v/>
      </c>
      <c r="N97" s="20" t="str">
        <f t="shared" si="5"/>
        <v/>
      </c>
    </row>
    <row r="98" spans="1:14" ht="15" customHeight="1">
      <c r="A98" s="17" t="s">
        <v>3626</v>
      </c>
      <c r="B98" s="17" t="s">
        <v>143</v>
      </c>
      <c r="C98" s="17" t="s">
        <v>141</v>
      </c>
      <c r="D98" s="17" t="s">
        <v>3627</v>
      </c>
      <c r="E98" s="17" t="s">
        <v>865</v>
      </c>
      <c r="F98" s="17" t="s">
        <v>3623</v>
      </c>
      <c r="G98" s="17" t="s">
        <v>3624</v>
      </c>
      <c r="H98" s="17" t="s">
        <v>3625</v>
      </c>
      <c r="I98" s="19" t="s">
        <v>95</v>
      </c>
      <c r="J98" s="24"/>
      <c r="K98" s="20" t="str">
        <f t="shared" si="3"/>
        <v/>
      </c>
      <c r="L98" s="20" t="str">
        <f>IF(C98="","",IF(COUNTIF('01_rules'!$A$2:$A$39,C98)=0,"rule 없음",""))</f>
        <v/>
      </c>
      <c r="M98" s="20" t="str">
        <f t="shared" si="4"/>
        <v/>
      </c>
      <c r="N98" s="20" t="str">
        <f t="shared" si="5"/>
        <v/>
      </c>
    </row>
    <row r="99" spans="1:14" ht="15" customHeight="1">
      <c r="A99" s="17" t="s">
        <v>3628</v>
      </c>
      <c r="B99" s="17" t="s">
        <v>143</v>
      </c>
      <c r="C99" s="17" t="s">
        <v>141</v>
      </c>
      <c r="D99" s="17" t="s">
        <v>3629</v>
      </c>
      <c r="E99" s="17" t="s">
        <v>868</v>
      </c>
      <c r="F99" s="17" t="s">
        <v>3623</v>
      </c>
      <c r="G99" s="17" t="s">
        <v>3624</v>
      </c>
      <c r="H99" s="17" t="s">
        <v>3625</v>
      </c>
      <c r="I99" s="19" t="s">
        <v>95</v>
      </c>
      <c r="J99" s="24"/>
      <c r="K99" s="20" t="str">
        <f t="shared" si="3"/>
        <v/>
      </c>
      <c r="L99" s="20" t="str">
        <f>IF(C99="","",IF(COUNTIF('01_rules'!$A$2:$A$39,C99)=0,"rule 없음",""))</f>
        <v/>
      </c>
      <c r="M99" s="20" t="str">
        <f t="shared" si="4"/>
        <v/>
      </c>
      <c r="N99" s="20" t="str">
        <f t="shared" si="5"/>
        <v/>
      </c>
    </row>
    <row r="100" spans="1:14" ht="15" customHeight="1">
      <c r="A100" s="17" t="s">
        <v>3630</v>
      </c>
      <c r="B100" s="17" t="s">
        <v>143</v>
      </c>
      <c r="C100" s="17" t="s">
        <v>141</v>
      </c>
      <c r="D100" s="17" t="s">
        <v>3631</v>
      </c>
      <c r="E100" s="17" t="s">
        <v>871</v>
      </c>
      <c r="F100" s="17" t="s">
        <v>3623</v>
      </c>
      <c r="G100" s="17" t="s">
        <v>3624</v>
      </c>
      <c r="H100" s="17" t="s">
        <v>3625</v>
      </c>
      <c r="I100" s="19" t="s">
        <v>95</v>
      </c>
      <c r="J100" s="24"/>
      <c r="K100" s="20" t="str">
        <f t="shared" si="3"/>
        <v/>
      </c>
      <c r="L100" s="20" t="str">
        <f>IF(C100="","",IF(COUNTIF('01_rules'!$A$2:$A$39,C100)=0,"rule 없음",""))</f>
        <v/>
      </c>
      <c r="M100" s="20" t="str">
        <f t="shared" si="4"/>
        <v/>
      </c>
      <c r="N100" s="20" t="str">
        <f t="shared" si="5"/>
        <v/>
      </c>
    </row>
    <row r="101" spans="1:14" ht="15" customHeight="1">
      <c r="A101" s="17" t="s">
        <v>3632</v>
      </c>
      <c r="B101" s="17" t="s">
        <v>143</v>
      </c>
      <c r="C101" s="17" t="s">
        <v>141</v>
      </c>
      <c r="D101" s="17" t="s">
        <v>3633</v>
      </c>
      <c r="E101" s="17" t="s">
        <v>874</v>
      </c>
      <c r="F101" s="17" t="s">
        <v>3623</v>
      </c>
      <c r="G101" s="17" t="s">
        <v>3624</v>
      </c>
      <c r="H101" s="17" t="s">
        <v>3625</v>
      </c>
      <c r="I101" s="19" t="s">
        <v>95</v>
      </c>
      <c r="J101" s="24"/>
      <c r="K101" s="20" t="str">
        <f t="shared" si="3"/>
        <v/>
      </c>
      <c r="L101" s="20" t="str">
        <f>IF(C101="","",IF(COUNTIF('01_rules'!$A$2:$A$39,C101)=0,"rule 없음",""))</f>
        <v/>
      </c>
      <c r="M101" s="20" t="str">
        <f t="shared" si="4"/>
        <v/>
      </c>
      <c r="N101" s="20" t="str">
        <f t="shared" si="5"/>
        <v/>
      </c>
    </row>
    <row r="102" spans="1:14" ht="15" customHeight="1">
      <c r="A102" s="17" t="s">
        <v>3634</v>
      </c>
      <c r="B102" s="17" t="s">
        <v>156</v>
      </c>
      <c r="C102" s="17" t="s">
        <v>154</v>
      </c>
      <c r="D102" s="17" t="s">
        <v>3635</v>
      </c>
      <c r="E102" s="17" t="s">
        <v>877</v>
      </c>
      <c r="F102" s="17" t="s">
        <v>3636</v>
      </c>
      <c r="G102" s="17" t="s">
        <v>3637</v>
      </c>
      <c r="H102" s="17" t="s">
        <v>3343</v>
      </c>
      <c r="I102" s="19" t="s">
        <v>95</v>
      </c>
      <c r="J102" s="24"/>
      <c r="K102" s="20" t="str">
        <f t="shared" si="3"/>
        <v/>
      </c>
      <c r="L102" s="20" t="str">
        <f>IF(C102="","",IF(COUNTIF('01_rules'!$A$2:$A$39,C102)=0,"rule 없음",""))</f>
        <v/>
      </c>
      <c r="M102" s="20" t="str">
        <f t="shared" si="4"/>
        <v/>
      </c>
      <c r="N102" s="20" t="str">
        <f t="shared" si="5"/>
        <v/>
      </c>
    </row>
    <row r="103" spans="1:14" ht="15" customHeight="1">
      <c r="A103" s="17" t="s">
        <v>3638</v>
      </c>
      <c r="B103" s="17" t="s">
        <v>156</v>
      </c>
      <c r="C103" s="17" t="s">
        <v>154</v>
      </c>
      <c r="D103" s="17" t="s">
        <v>3639</v>
      </c>
      <c r="E103" s="17" t="s">
        <v>880</v>
      </c>
      <c r="F103" s="17" t="s">
        <v>3640</v>
      </c>
      <c r="G103" s="17" t="s">
        <v>3641</v>
      </c>
      <c r="H103" s="17" t="s">
        <v>3343</v>
      </c>
      <c r="I103" s="19" t="s">
        <v>95</v>
      </c>
      <c r="J103" s="24"/>
      <c r="K103" s="20" t="str">
        <f t="shared" si="3"/>
        <v/>
      </c>
      <c r="L103" s="20" t="str">
        <f>IF(C103="","",IF(COUNTIF('01_rules'!$A$2:$A$39,C103)=0,"rule 없음",""))</f>
        <v/>
      </c>
      <c r="M103" s="20" t="str">
        <f t="shared" si="4"/>
        <v/>
      </c>
      <c r="N103" s="20" t="str">
        <f t="shared" si="5"/>
        <v/>
      </c>
    </row>
    <row r="104" spans="1:14" ht="15" customHeight="1">
      <c r="A104" s="17" t="s">
        <v>3642</v>
      </c>
      <c r="B104" s="17" t="s">
        <v>156</v>
      </c>
      <c r="C104" s="17" t="s">
        <v>154</v>
      </c>
      <c r="D104" s="17" t="s">
        <v>3643</v>
      </c>
      <c r="E104" s="17" t="s">
        <v>883</v>
      </c>
      <c r="F104" s="17" t="s">
        <v>3644</v>
      </c>
      <c r="G104" s="17" t="s">
        <v>3645</v>
      </c>
      <c r="H104" s="17" t="s">
        <v>3343</v>
      </c>
      <c r="I104" s="19" t="s">
        <v>95</v>
      </c>
      <c r="J104" s="24"/>
      <c r="K104" s="20" t="str">
        <f t="shared" si="3"/>
        <v/>
      </c>
      <c r="L104" s="20" t="str">
        <f>IF(C104="","",IF(COUNTIF('01_rules'!$A$2:$A$39,C104)=0,"rule 없음",""))</f>
        <v/>
      </c>
      <c r="M104" s="20" t="str">
        <f t="shared" si="4"/>
        <v/>
      </c>
      <c r="N104" s="20" t="str">
        <f t="shared" si="5"/>
        <v/>
      </c>
    </row>
    <row r="105" spans="1:14" ht="15" customHeight="1">
      <c r="A105" s="17" t="s">
        <v>3646</v>
      </c>
      <c r="B105" s="17" t="s">
        <v>156</v>
      </c>
      <c r="C105" s="17" t="s">
        <v>154</v>
      </c>
      <c r="D105" s="17" t="s">
        <v>3647</v>
      </c>
      <c r="E105" s="17" t="s">
        <v>886</v>
      </c>
      <c r="F105" s="17" t="s">
        <v>3648</v>
      </c>
      <c r="G105" s="17" t="s">
        <v>3649</v>
      </c>
      <c r="H105" s="17" t="s">
        <v>3343</v>
      </c>
      <c r="I105" s="19" t="s">
        <v>95</v>
      </c>
      <c r="J105" s="24"/>
      <c r="K105" s="20" t="str">
        <f t="shared" si="3"/>
        <v/>
      </c>
      <c r="L105" s="20" t="str">
        <f>IF(C105="","",IF(COUNTIF('01_rules'!$A$2:$A$39,C105)=0,"rule 없음",""))</f>
        <v/>
      </c>
      <c r="M105" s="20" t="str">
        <f t="shared" si="4"/>
        <v/>
      </c>
      <c r="N105" s="20" t="str">
        <f t="shared" si="5"/>
        <v/>
      </c>
    </row>
    <row r="106" spans="1:14" ht="15" customHeight="1">
      <c r="A106" s="17" t="s">
        <v>3650</v>
      </c>
      <c r="B106" s="17" t="s">
        <v>156</v>
      </c>
      <c r="C106" s="17" t="s">
        <v>154</v>
      </c>
      <c r="D106" s="17" t="s">
        <v>3651</v>
      </c>
      <c r="E106" s="17" t="s">
        <v>889</v>
      </c>
      <c r="F106" s="17" t="s">
        <v>3652</v>
      </c>
      <c r="G106" s="17" t="s">
        <v>3653</v>
      </c>
      <c r="H106" s="17" t="s">
        <v>3343</v>
      </c>
      <c r="I106" s="19" t="s">
        <v>95</v>
      </c>
      <c r="J106" s="24"/>
      <c r="K106" s="20" t="str">
        <f t="shared" si="3"/>
        <v/>
      </c>
      <c r="L106" s="20" t="str">
        <f>IF(C106="","",IF(COUNTIF('01_rules'!$A$2:$A$39,C106)=0,"rule 없음",""))</f>
        <v/>
      </c>
      <c r="M106" s="20" t="str">
        <f t="shared" si="4"/>
        <v/>
      </c>
      <c r="N106" s="20" t="str">
        <f t="shared" si="5"/>
        <v/>
      </c>
    </row>
    <row r="107" spans="1:14" ht="15" customHeight="1">
      <c r="A107" s="17" t="s">
        <v>3654</v>
      </c>
      <c r="B107" s="17" t="s">
        <v>156</v>
      </c>
      <c r="C107" s="17" t="s">
        <v>154</v>
      </c>
      <c r="D107" s="17" t="s">
        <v>3655</v>
      </c>
      <c r="E107" s="17" t="s">
        <v>892</v>
      </c>
      <c r="F107" s="17" t="s">
        <v>3656</v>
      </c>
      <c r="G107" s="17" t="s">
        <v>3657</v>
      </c>
      <c r="H107" s="17" t="s">
        <v>3343</v>
      </c>
      <c r="I107" s="19" t="s">
        <v>95</v>
      </c>
      <c r="J107" s="24"/>
      <c r="K107" s="20" t="str">
        <f t="shared" si="3"/>
        <v/>
      </c>
      <c r="L107" s="20" t="str">
        <f>IF(C107="","",IF(COUNTIF('01_rules'!$A$2:$A$39,C107)=0,"rule 없음",""))</f>
        <v/>
      </c>
      <c r="M107" s="20" t="str">
        <f t="shared" si="4"/>
        <v/>
      </c>
      <c r="N107" s="20" t="str">
        <f t="shared" si="5"/>
        <v/>
      </c>
    </row>
    <row r="108" spans="1:14" ht="15" customHeight="1">
      <c r="A108" s="17" t="s">
        <v>3658</v>
      </c>
      <c r="B108" s="17" t="s">
        <v>156</v>
      </c>
      <c r="C108" s="17" t="s">
        <v>154</v>
      </c>
      <c r="D108" s="17" t="s">
        <v>3659</v>
      </c>
      <c r="E108" s="17" t="s">
        <v>895</v>
      </c>
      <c r="F108" s="17" t="s">
        <v>3660</v>
      </c>
      <c r="G108" s="17" t="s">
        <v>3661</v>
      </c>
      <c r="H108" s="17" t="s">
        <v>3343</v>
      </c>
      <c r="I108" s="19" t="s">
        <v>95</v>
      </c>
      <c r="J108" s="24"/>
      <c r="K108" s="20" t="str">
        <f t="shared" si="3"/>
        <v/>
      </c>
      <c r="L108" s="20" t="str">
        <f>IF(C108="","",IF(COUNTIF('01_rules'!$A$2:$A$39,C108)=0,"rule 없음",""))</f>
        <v/>
      </c>
      <c r="M108" s="20" t="str">
        <f t="shared" si="4"/>
        <v/>
      </c>
      <c r="N108" s="20" t="str">
        <f t="shared" si="5"/>
        <v/>
      </c>
    </row>
    <row r="109" spans="1:14" ht="15" customHeight="1">
      <c r="A109" s="17" t="s">
        <v>3662</v>
      </c>
      <c r="B109" s="17" t="s">
        <v>156</v>
      </c>
      <c r="C109" s="17" t="s">
        <v>154</v>
      </c>
      <c r="D109" s="17" t="s">
        <v>3663</v>
      </c>
      <c r="E109" s="17" t="s">
        <v>898</v>
      </c>
      <c r="F109" s="17" t="s">
        <v>3664</v>
      </c>
      <c r="G109" s="17" t="s">
        <v>3665</v>
      </c>
      <c r="H109" s="17" t="s">
        <v>3343</v>
      </c>
      <c r="I109" s="19" t="s">
        <v>95</v>
      </c>
      <c r="J109" s="24"/>
      <c r="K109" s="20" t="str">
        <f t="shared" si="3"/>
        <v/>
      </c>
      <c r="L109" s="20" t="str">
        <f>IF(C109="","",IF(COUNTIF('01_rules'!$A$2:$A$39,C109)=0,"rule 없음",""))</f>
        <v/>
      </c>
      <c r="M109" s="20" t="str">
        <f t="shared" si="4"/>
        <v/>
      </c>
      <c r="N109" s="20" t="str">
        <f t="shared" si="5"/>
        <v/>
      </c>
    </row>
    <row r="110" spans="1:14" ht="15" customHeight="1">
      <c r="A110" s="17" t="s">
        <v>3666</v>
      </c>
      <c r="B110" s="17" t="s">
        <v>156</v>
      </c>
      <c r="C110" s="17" t="s">
        <v>154</v>
      </c>
      <c r="D110" s="17" t="s">
        <v>3667</v>
      </c>
      <c r="E110" s="17" t="s">
        <v>901</v>
      </c>
      <c r="F110" s="17" t="s">
        <v>3668</v>
      </c>
      <c r="G110" s="17" t="s">
        <v>3669</v>
      </c>
      <c r="H110" s="17" t="s">
        <v>3343</v>
      </c>
      <c r="I110" s="19" t="s">
        <v>95</v>
      </c>
      <c r="J110" s="24"/>
      <c r="K110" s="20" t="str">
        <f t="shared" si="3"/>
        <v/>
      </c>
      <c r="L110" s="20" t="str">
        <f>IF(C110="","",IF(COUNTIF('01_rules'!$A$2:$A$39,C110)=0,"rule 없음",""))</f>
        <v/>
      </c>
      <c r="M110" s="20" t="str">
        <f t="shared" si="4"/>
        <v/>
      </c>
      <c r="N110" s="20" t="str">
        <f t="shared" si="5"/>
        <v/>
      </c>
    </row>
    <row r="111" spans="1:14" ht="15" customHeight="1">
      <c r="A111" s="17" t="s">
        <v>3670</v>
      </c>
      <c r="B111" s="17" t="s">
        <v>156</v>
      </c>
      <c r="C111" s="17" t="s">
        <v>154</v>
      </c>
      <c r="D111" s="17" t="s">
        <v>3671</v>
      </c>
      <c r="E111" s="17" t="s">
        <v>904</v>
      </c>
      <c r="F111" s="17" t="s">
        <v>3672</v>
      </c>
      <c r="G111" s="17" t="s">
        <v>3673</v>
      </c>
      <c r="H111" s="17" t="s">
        <v>3343</v>
      </c>
      <c r="I111" s="19" t="s">
        <v>95</v>
      </c>
      <c r="J111" s="24"/>
      <c r="K111" s="20" t="str">
        <f t="shared" si="3"/>
        <v/>
      </c>
      <c r="L111" s="20" t="str">
        <f>IF(C111="","",IF(COUNTIF('01_rules'!$A$2:$A$39,C111)=0,"rule 없음",""))</f>
        <v/>
      </c>
      <c r="M111" s="20" t="str">
        <f t="shared" si="4"/>
        <v/>
      </c>
      <c r="N111" s="20" t="str">
        <f t="shared" si="5"/>
        <v/>
      </c>
    </row>
    <row r="112" spans="1:14" ht="23.25" customHeight="1">
      <c r="A112" s="17" t="s">
        <v>3674</v>
      </c>
      <c r="B112" s="17" t="s">
        <v>156</v>
      </c>
      <c r="C112" s="17" t="s">
        <v>334</v>
      </c>
      <c r="D112" s="17" t="s">
        <v>3675</v>
      </c>
      <c r="E112" s="17" t="s">
        <v>907</v>
      </c>
      <c r="F112" s="17" t="s">
        <v>3396</v>
      </c>
      <c r="G112" s="17" t="s">
        <v>3397</v>
      </c>
      <c r="H112" s="17" t="s">
        <v>3398</v>
      </c>
      <c r="I112" s="19" t="s">
        <v>95</v>
      </c>
      <c r="J112" s="24"/>
      <c r="K112" s="20" t="str">
        <f t="shared" si="3"/>
        <v/>
      </c>
      <c r="L112" s="20" t="str">
        <f>IF(C112="","",IF(COUNTIF('01_rules'!$A$2:$A$39,C112)=0,"rule 없음",""))</f>
        <v/>
      </c>
      <c r="M112" s="20" t="str">
        <f t="shared" si="4"/>
        <v/>
      </c>
      <c r="N112" s="20" t="str">
        <f t="shared" si="5"/>
        <v/>
      </c>
    </row>
    <row r="113" spans="1:14" ht="23.25" customHeight="1">
      <c r="A113" s="17" t="s">
        <v>3676</v>
      </c>
      <c r="B113" s="17" t="s">
        <v>156</v>
      </c>
      <c r="C113" s="17" t="s">
        <v>334</v>
      </c>
      <c r="D113" s="17" t="s">
        <v>3677</v>
      </c>
      <c r="E113" s="17" t="s">
        <v>910</v>
      </c>
      <c r="F113" s="17" t="s">
        <v>3396</v>
      </c>
      <c r="G113" s="17" t="s">
        <v>3397</v>
      </c>
      <c r="H113" s="17" t="s">
        <v>3398</v>
      </c>
      <c r="I113" s="19" t="s">
        <v>95</v>
      </c>
      <c r="J113" s="24"/>
      <c r="K113" s="20" t="str">
        <f t="shared" si="3"/>
        <v/>
      </c>
      <c r="L113" s="20" t="str">
        <f>IF(C113="","",IF(COUNTIF('01_rules'!$A$2:$A$39,C113)=0,"rule 없음",""))</f>
        <v/>
      </c>
      <c r="M113" s="20" t="str">
        <f t="shared" si="4"/>
        <v/>
      </c>
      <c r="N113" s="20" t="str">
        <f t="shared" si="5"/>
        <v/>
      </c>
    </row>
    <row r="114" spans="1:14" ht="23.25" customHeight="1">
      <c r="A114" s="17" t="s">
        <v>3678</v>
      </c>
      <c r="B114" s="17" t="s">
        <v>156</v>
      </c>
      <c r="C114" s="17" t="s">
        <v>334</v>
      </c>
      <c r="D114" s="17" t="s">
        <v>3679</v>
      </c>
      <c r="E114" s="17" t="s">
        <v>913</v>
      </c>
      <c r="F114" s="17" t="s">
        <v>3396</v>
      </c>
      <c r="G114" s="17" t="s">
        <v>3397</v>
      </c>
      <c r="H114" s="17" t="s">
        <v>3398</v>
      </c>
      <c r="I114" s="19" t="s">
        <v>95</v>
      </c>
      <c r="J114" s="24"/>
      <c r="K114" s="20" t="str">
        <f t="shared" si="3"/>
        <v/>
      </c>
      <c r="L114" s="20" t="str">
        <f>IF(C114="","",IF(COUNTIF('01_rules'!$A$2:$A$39,C114)=0,"rule 없음",""))</f>
        <v/>
      </c>
      <c r="M114" s="20" t="str">
        <f t="shared" si="4"/>
        <v/>
      </c>
      <c r="N114" s="20" t="str">
        <f t="shared" si="5"/>
        <v/>
      </c>
    </row>
    <row r="115" spans="1:14" ht="15" customHeight="1">
      <c r="A115" s="17" t="s">
        <v>3680</v>
      </c>
      <c r="B115" s="17" t="s">
        <v>156</v>
      </c>
      <c r="C115" s="17" t="s">
        <v>87</v>
      </c>
      <c r="D115" s="17" t="s">
        <v>3681</v>
      </c>
      <c r="E115" s="17" t="s">
        <v>916</v>
      </c>
      <c r="F115" s="17" t="s">
        <v>3682</v>
      </c>
      <c r="G115" s="17" t="s">
        <v>3683</v>
      </c>
      <c r="H115" s="17" t="s">
        <v>3343</v>
      </c>
      <c r="I115" s="19" t="s">
        <v>95</v>
      </c>
      <c r="J115" s="24"/>
      <c r="K115" s="20" t="str">
        <f t="shared" si="3"/>
        <v/>
      </c>
      <c r="L115" s="20" t="str">
        <f>IF(C115="","",IF(COUNTIF('01_rules'!$A$2:$A$39,C115)=0,"rule 없음",""))</f>
        <v/>
      </c>
      <c r="M115" s="20" t="str">
        <f t="shared" si="4"/>
        <v/>
      </c>
      <c r="N115" s="20" t="str">
        <f t="shared" si="5"/>
        <v/>
      </c>
    </row>
    <row r="116" spans="1:14" ht="23.25" customHeight="1">
      <c r="A116" s="17" t="s">
        <v>3684</v>
      </c>
      <c r="B116" s="17" t="s">
        <v>156</v>
      </c>
      <c r="C116" s="17" t="s">
        <v>87</v>
      </c>
      <c r="D116" s="17" t="s">
        <v>3685</v>
      </c>
      <c r="E116" s="17" t="s">
        <v>919</v>
      </c>
      <c r="F116" s="17" t="s">
        <v>3686</v>
      </c>
      <c r="G116" s="17" t="s">
        <v>3687</v>
      </c>
      <c r="H116" s="17" t="s">
        <v>3343</v>
      </c>
      <c r="I116" s="19" t="s">
        <v>95</v>
      </c>
      <c r="J116" s="24"/>
      <c r="K116" s="20" t="str">
        <f t="shared" si="3"/>
        <v/>
      </c>
      <c r="L116" s="20" t="str">
        <f>IF(C116="","",IF(COUNTIF('01_rules'!$A$2:$A$39,C116)=0,"rule 없음",""))</f>
        <v/>
      </c>
      <c r="M116" s="20" t="str">
        <f t="shared" si="4"/>
        <v/>
      </c>
      <c r="N116" s="20" t="str">
        <f t="shared" si="5"/>
        <v/>
      </c>
    </row>
    <row r="117" spans="1:14" ht="23.25" customHeight="1">
      <c r="A117" s="17" t="s">
        <v>3688</v>
      </c>
      <c r="B117" s="17" t="s">
        <v>156</v>
      </c>
      <c r="C117" s="17" t="s">
        <v>334</v>
      </c>
      <c r="D117" s="17" t="s">
        <v>3689</v>
      </c>
      <c r="E117" s="17" t="s">
        <v>922</v>
      </c>
      <c r="F117" s="17" t="s">
        <v>3396</v>
      </c>
      <c r="G117" s="17" t="s">
        <v>3397</v>
      </c>
      <c r="H117" s="17" t="s">
        <v>3398</v>
      </c>
      <c r="I117" s="19" t="s">
        <v>95</v>
      </c>
      <c r="J117" s="24"/>
      <c r="K117" s="20" t="str">
        <f t="shared" si="3"/>
        <v/>
      </c>
      <c r="L117" s="20" t="str">
        <f>IF(C117="","",IF(COUNTIF('01_rules'!$A$2:$A$39,C117)=0,"rule 없음",""))</f>
        <v/>
      </c>
      <c r="M117" s="20" t="str">
        <f t="shared" si="4"/>
        <v/>
      </c>
      <c r="N117" s="20" t="str">
        <f t="shared" si="5"/>
        <v/>
      </c>
    </row>
    <row r="118" spans="1:14" ht="23.25" customHeight="1">
      <c r="A118" s="17" t="s">
        <v>3690</v>
      </c>
      <c r="B118" s="17" t="s">
        <v>156</v>
      </c>
      <c r="C118" s="17" t="s">
        <v>334</v>
      </c>
      <c r="D118" s="17" t="s">
        <v>3691</v>
      </c>
      <c r="E118" s="17" t="s">
        <v>925</v>
      </c>
      <c r="F118" s="17" t="s">
        <v>3396</v>
      </c>
      <c r="G118" s="17" t="s">
        <v>3397</v>
      </c>
      <c r="H118" s="17" t="s">
        <v>3398</v>
      </c>
      <c r="I118" s="19" t="s">
        <v>95</v>
      </c>
      <c r="J118" s="24"/>
      <c r="K118" s="20" t="str">
        <f t="shared" si="3"/>
        <v/>
      </c>
      <c r="L118" s="20" t="str">
        <f>IF(C118="","",IF(COUNTIF('01_rules'!$A$2:$A$39,C118)=0,"rule 없음",""))</f>
        <v/>
      </c>
      <c r="M118" s="20" t="str">
        <f t="shared" si="4"/>
        <v/>
      </c>
      <c r="N118" s="20" t="str">
        <f t="shared" si="5"/>
        <v/>
      </c>
    </row>
    <row r="119" spans="1:14" ht="23.25" customHeight="1">
      <c r="A119" s="17" t="s">
        <v>3692</v>
      </c>
      <c r="B119" s="17" t="s">
        <v>156</v>
      </c>
      <c r="C119" s="17" t="s">
        <v>87</v>
      </c>
      <c r="D119" s="17" t="s">
        <v>3693</v>
      </c>
      <c r="E119" s="17" t="s">
        <v>928</v>
      </c>
      <c r="F119" s="17" t="s">
        <v>3694</v>
      </c>
      <c r="G119" s="17" t="s">
        <v>3695</v>
      </c>
      <c r="H119" s="17" t="s">
        <v>3343</v>
      </c>
      <c r="I119" s="19" t="s">
        <v>95</v>
      </c>
      <c r="J119" s="24"/>
      <c r="K119" s="20" t="str">
        <f t="shared" si="3"/>
        <v/>
      </c>
      <c r="L119" s="20" t="str">
        <f>IF(C119="","",IF(COUNTIF('01_rules'!$A$2:$A$39,C119)=0,"rule 없음",""))</f>
        <v/>
      </c>
      <c r="M119" s="20" t="str">
        <f t="shared" si="4"/>
        <v/>
      </c>
      <c r="N119" s="20" t="str">
        <f t="shared" si="5"/>
        <v/>
      </c>
    </row>
    <row r="120" spans="1:14" ht="15" customHeight="1">
      <c r="A120" s="17" t="s">
        <v>3696</v>
      </c>
      <c r="B120" s="17" t="s">
        <v>156</v>
      </c>
      <c r="C120" s="17" t="s">
        <v>87</v>
      </c>
      <c r="D120" s="17" t="s">
        <v>3697</v>
      </c>
      <c r="E120" s="17" t="s">
        <v>931</v>
      </c>
      <c r="F120" s="17" t="s">
        <v>3698</v>
      </c>
      <c r="G120" s="17" t="s">
        <v>3699</v>
      </c>
      <c r="H120" s="17" t="s">
        <v>3343</v>
      </c>
      <c r="I120" s="19" t="s">
        <v>95</v>
      </c>
      <c r="J120" s="24"/>
      <c r="K120" s="20" t="str">
        <f t="shared" si="3"/>
        <v/>
      </c>
      <c r="L120" s="20" t="str">
        <f>IF(C120="","",IF(COUNTIF('01_rules'!$A$2:$A$39,C120)=0,"rule 없음",""))</f>
        <v/>
      </c>
      <c r="M120" s="20" t="str">
        <f t="shared" si="4"/>
        <v/>
      </c>
      <c r="N120" s="20" t="str">
        <f t="shared" si="5"/>
        <v/>
      </c>
    </row>
    <row r="121" spans="1:14" ht="15" customHeight="1">
      <c r="A121" s="17" t="s">
        <v>3700</v>
      </c>
      <c r="B121" s="17" t="s">
        <v>156</v>
      </c>
      <c r="C121" s="17" t="s">
        <v>297</v>
      </c>
      <c r="D121" s="17" t="s">
        <v>3701</v>
      </c>
      <c r="E121" s="17" t="s">
        <v>934</v>
      </c>
      <c r="F121" s="17" t="s">
        <v>2249</v>
      </c>
      <c r="G121" s="17" t="s">
        <v>3702</v>
      </c>
      <c r="H121" s="17" t="s">
        <v>3703</v>
      </c>
      <c r="I121" s="19" t="s">
        <v>95</v>
      </c>
      <c r="J121" s="24"/>
      <c r="K121" s="20" t="str">
        <f t="shared" si="3"/>
        <v/>
      </c>
      <c r="L121" s="20" t="str">
        <f>IF(C121="","",IF(COUNTIF('01_rules'!$A$2:$A$39,C121)=0,"rule 없음",""))</f>
        <v/>
      </c>
      <c r="M121" s="20" t="str">
        <f t="shared" si="4"/>
        <v/>
      </c>
      <c r="N121" s="20" t="str">
        <f t="shared" si="5"/>
        <v/>
      </c>
    </row>
    <row r="122" spans="1:14" ht="15" customHeight="1">
      <c r="A122" s="17" t="s">
        <v>3704</v>
      </c>
      <c r="B122" s="17" t="s">
        <v>163</v>
      </c>
      <c r="C122" s="17" t="s">
        <v>161</v>
      </c>
      <c r="D122" s="17" t="s">
        <v>3705</v>
      </c>
      <c r="E122" s="17" t="s">
        <v>937</v>
      </c>
      <c r="F122" s="17" t="s">
        <v>3706</v>
      </c>
      <c r="G122" s="17" t="s">
        <v>2095</v>
      </c>
      <c r="H122" s="17" t="s">
        <v>3707</v>
      </c>
      <c r="I122" s="19" t="s">
        <v>95</v>
      </c>
      <c r="J122" s="24"/>
      <c r="K122" s="20" t="str">
        <f t="shared" si="3"/>
        <v/>
      </c>
      <c r="L122" s="20" t="str">
        <f>IF(C122="","",IF(COUNTIF('01_rules'!$A$2:$A$39,C122)=0,"rule 없음",""))</f>
        <v/>
      </c>
      <c r="M122" s="20" t="str">
        <f t="shared" si="4"/>
        <v/>
      </c>
      <c r="N122" s="20" t="str">
        <f t="shared" si="5"/>
        <v/>
      </c>
    </row>
    <row r="123" spans="1:14" ht="23.25" customHeight="1">
      <c r="A123" s="17" t="s">
        <v>3708</v>
      </c>
      <c r="B123" s="17" t="s">
        <v>163</v>
      </c>
      <c r="C123" s="17" t="s">
        <v>161</v>
      </c>
      <c r="D123" s="17" t="s">
        <v>3709</v>
      </c>
      <c r="E123" s="17" t="s">
        <v>939</v>
      </c>
      <c r="F123" s="17" t="s">
        <v>1935</v>
      </c>
      <c r="G123" s="17" t="s">
        <v>3710</v>
      </c>
      <c r="H123" s="17" t="s">
        <v>3711</v>
      </c>
      <c r="I123" s="19" t="s">
        <v>95</v>
      </c>
      <c r="J123" s="24"/>
      <c r="K123" s="20" t="str">
        <f t="shared" si="3"/>
        <v/>
      </c>
      <c r="L123" s="20" t="str">
        <f>IF(C123="","",IF(COUNTIF('01_rules'!$A$2:$A$39,C123)=0,"rule 없음",""))</f>
        <v/>
      </c>
      <c r="M123" s="20" t="str">
        <f t="shared" si="4"/>
        <v/>
      </c>
      <c r="N123" s="20" t="str">
        <f t="shared" si="5"/>
        <v/>
      </c>
    </row>
    <row r="124" spans="1:14" ht="23.25" customHeight="1">
      <c r="A124" s="17" t="s">
        <v>3712</v>
      </c>
      <c r="B124" s="17" t="s">
        <v>163</v>
      </c>
      <c r="C124" s="17" t="s">
        <v>161</v>
      </c>
      <c r="D124" s="17" t="s">
        <v>3713</v>
      </c>
      <c r="E124" s="17" t="s">
        <v>942</v>
      </c>
      <c r="F124" s="17" t="s">
        <v>1939</v>
      </c>
      <c r="G124" s="17" t="s">
        <v>3714</v>
      </c>
      <c r="H124" s="17" t="s">
        <v>3715</v>
      </c>
      <c r="I124" s="19" t="s">
        <v>95</v>
      </c>
      <c r="J124" s="24"/>
      <c r="K124" s="20" t="str">
        <f t="shared" si="3"/>
        <v/>
      </c>
      <c r="L124" s="20" t="str">
        <f>IF(C124="","",IF(COUNTIF('01_rules'!$A$2:$A$39,C124)=0,"rule 없음",""))</f>
        <v/>
      </c>
      <c r="M124" s="20" t="str">
        <f t="shared" si="4"/>
        <v/>
      </c>
      <c r="N124" s="20" t="str">
        <f t="shared" si="5"/>
        <v/>
      </c>
    </row>
    <row r="125" spans="1:14" ht="15" customHeight="1">
      <c r="A125" s="17" t="s">
        <v>3716</v>
      </c>
      <c r="B125" s="17" t="s">
        <v>163</v>
      </c>
      <c r="C125" s="17" t="s">
        <v>161</v>
      </c>
      <c r="D125" s="17" t="s">
        <v>3717</v>
      </c>
      <c r="E125" s="17" t="s">
        <v>945</v>
      </c>
      <c r="F125" s="17" t="s">
        <v>2644</v>
      </c>
      <c r="G125" s="17" t="s">
        <v>3718</v>
      </c>
      <c r="H125" s="17" t="s">
        <v>3719</v>
      </c>
      <c r="I125" s="19" t="s">
        <v>95</v>
      </c>
      <c r="J125" s="24"/>
      <c r="K125" s="20" t="str">
        <f t="shared" si="3"/>
        <v/>
      </c>
      <c r="L125" s="20" t="str">
        <f>IF(C125="","",IF(COUNTIF('01_rules'!$A$2:$A$39,C125)=0,"rule 없음",""))</f>
        <v/>
      </c>
      <c r="M125" s="20" t="str">
        <f t="shared" si="4"/>
        <v/>
      </c>
      <c r="N125" s="20" t="str">
        <f t="shared" si="5"/>
        <v/>
      </c>
    </row>
    <row r="126" spans="1:14" ht="15" customHeight="1">
      <c r="A126" s="17" t="s">
        <v>3720</v>
      </c>
      <c r="B126" s="17" t="s">
        <v>163</v>
      </c>
      <c r="C126" s="17" t="s">
        <v>161</v>
      </c>
      <c r="D126" s="17" t="s">
        <v>3721</v>
      </c>
      <c r="E126" s="17" t="s">
        <v>948</v>
      </c>
      <c r="F126" s="17" t="s">
        <v>3722</v>
      </c>
      <c r="G126" s="17" t="s">
        <v>3723</v>
      </c>
      <c r="H126" s="17" t="s">
        <v>3724</v>
      </c>
      <c r="I126" s="19" t="s">
        <v>95</v>
      </c>
      <c r="J126" s="24"/>
      <c r="K126" s="20" t="str">
        <f t="shared" si="3"/>
        <v/>
      </c>
      <c r="L126" s="20" t="str">
        <f>IF(C126="","",IF(COUNTIF('01_rules'!$A$2:$A$39,C126)=0,"rule 없음",""))</f>
        <v/>
      </c>
      <c r="M126" s="20" t="str">
        <f t="shared" si="4"/>
        <v/>
      </c>
      <c r="N126" s="20" t="str">
        <f t="shared" si="5"/>
        <v/>
      </c>
    </row>
    <row r="127" spans="1:14" ht="23.25" customHeight="1">
      <c r="A127" s="17" t="s">
        <v>3725</v>
      </c>
      <c r="B127" s="17" t="s">
        <v>163</v>
      </c>
      <c r="C127" s="17" t="s">
        <v>161</v>
      </c>
      <c r="D127" s="17" t="s">
        <v>3726</v>
      </c>
      <c r="E127" s="17" t="s">
        <v>951</v>
      </c>
      <c r="F127" s="17" t="s">
        <v>3727</v>
      </c>
      <c r="G127" s="17" t="s">
        <v>3728</v>
      </c>
      <c r="H127" s="17" t="s">
        <v>3729</v>
      </c>
      <c r="I127" s="19" t="s">
        <v>95</v>
      </c>
      <c r="J127" s="24"/>
      <c r="K127" s="20" t="str">
        <f t="shared" si="3"/>
        <v/>
      </c>
      <c r="L127" s="20" t="str">
        <f>IF(C127="","",IF(COUNTIF('01_rules'!$A$2:$A$39,C127)=0,"rule 없음",""))</f>
        <v/>
      </c>
      <c r="M127" s="20" t="str">
        <f t="shared" si="4"/>
        <v/>
      </c>
      <c r="N127" s="20" t="str">
        <f t="shared" si="5"/>
        <v/>
      </c>
    </row>
    <row r="128" spans="1:14" ht="23.25" customHeight="1">
      <c r="A128" s="17" t="s">
        <v>3730</v>
      </c>
      <c r="B128" s="17" t="s">
        <v>163</v>
      </c>
      <c r="C128" s="17" t="s">
        <v>161</v>
      </c>
      <c r="D128" s="17" t="s">
        <v>3731</v>
      </c>
      <c r="E128" s="17" t="s">
        <v>954</v>
      </c>
      <c r="F128" s="17" t="s">
        <v>2425</v>
      </c>
      <c r="G128" s="17" t="s">
        <v>3732</v>
      </c>
      <c r="H128" s="17" t="s">
        <v>3733</v>
      </c>
      <c r="I128" s="19" t="s">
        <v>95</v>
      </c>
      <c r="J128" s="24"/>
      <c r="K128" s="20" t="str">
        <f t="shared" si="3"/>
        <v/>
      </c>
      <c r="L128" s="20" t="str">
        <f>IF(C128="","",IF(COUNTIF('01_rules'!$A$2:$A$39,C128)=0,"rule 없음",""))</f>
        <v/>
      </c>
      <c r="M128" s="20" t="str">
        <f t="shared" si="4"/>
        <v/>
      </c>
      <c r="N128" s="20" t="str">
        <f t="shared" si="5"/>
        <v/>
      </c>
    </row>
    <row r="129" spans="1:14" ht="15" customHeight="1">
      <c r="A129" s="17" t="s">
        <v>3734</v>
      </c>
      <c r="B129" s="17" t="s">
        <v>163</v>
      </c>
      <c r="C129" s="17" t="s">
        <v>161</v>
      </c>
      <c r="D129" s="17" t="s">
        <v>3735</v>
      </c>
      <c r="E129" s="17" t="s">
        <v>957</v>
      </c>
      <c r="F129" s="17" t="s">
        <v>3736</v>
      </c>
      <c r="G129" s="17" t="s">
        <v>3737</v>
      </c>
      <c r="H129" s="17" t="s">
        <v>3738</v>
      </c>
      <c r="I129" s="19" t="s">
        <v>95</v>
      </c>
      <c r="J129" s="24"/>
      <c r="K129" s="20" t="str">
        <f t="shared" si="3"/>
        <v/>
      </c>
      <c r="L129" s="20" t="str">
        <f>IF(C129="","",IF(COUNTIF('01_rules'!$A$2:$A$39,C129)=0,"rule 없음",""))</f>
        <v/>
      </c>
      <c r="M129" s="20" t="str">
        <f t="shared" si="4"/>
        <v/>
      </c>
      <c r="N129" s="20" t="str">
        <f t="shared" si="5"/>
        <v/>
      </c>
    </row>
    <row r="130" spans="1:14" ht="15" customHeight="1">
      <c r="A130" s="17" t="s">
        <v>3739</v>
      </c>
      <c r="B130" s="17" t="s">
        <v>163</v>
      </c>
      <c r="C130" s="17" t="s">
        <v>161</v>
      </c>
      <c r="D130" s="17" t="s">
        <v>3740</v>
      </c>
      <c r="E130" s="17" t="s">
        <v>960</v>
      </c>
      <c r="F130" s="17" t="s">
        <v>3741</v>
      </c>
      <c r="G130" s="17" t="s">
        <v>3742</v>
      </c>
      <c r="H130" s="17" t="s">
        <v>3743</v>
      </c>
      <c r="I130" s="19" t="s">
        <v>95</v>
      </c>
      <c r="J130" s="24"/>
      <c r="K130" s="20" t="str">
        <f t="shared" ref="K130:K193" si="6">IF(A130="","",IF(COUNTIF($A$2:$A$401,A130)&gt;1,"중복",""))</f>
        <v/>
      </c>
      <c r="L130" s="20" t="str">
        <f>IF(C130="","",IF(COUNTIF('01_rules'!$A$2:$A$39,C130)=0,"rule 없음",""))</f>
        <v/>
      </c>
      <c r="M130" s="20" t="str">
        <f t="shared" ref="M130:M193" si="7">IF(D130="","",IF(D130=E130,"error=correct",""))</f>
        <v/>
      </c>
      <c r="N130" s="20" t="str">
        <f t="shared" ref="N130:N193" si="8">IF(H130="","",IF(LEN(H130)-LEN(SUBSTITUTE(H130,";",""))&lt;&gt;2,"보기 3개 아님",""))</f>
        <v/>
      </c>
    </row>
    <row r="131" spans="1:14" ht="15" customHeight="1">
      <c r="A131" s="17" t="s">
        <v>3744</v>
      </c>
      <c r="B131" s="17" t="s">
        <v>163</v>
      </c>
      <c r="C131" s="17" t="s">
        <v>161</v>
      </c>
      <c r="D131" s="17" t="s">
        <v>3745</v>
      </c>
      <c r="E131" s="17" t="s">
        <v>963</v>
      </c>
      <c r="F131" s="17" t="s">
        <v>3746</v>
      </c>
      <c r="G131" s="17" t="s">
        <v>3747</v>
      </c>
      <c r="H131" s="17" t="s">
        <v>3748</v>
      </c>
      <c r="I131" s="19" t="s">
        <v>95</v>
      </c>
      <c r="J131" s="24"/>
      <c r="K131" s="20" t="str">
        <f t="shared" si="6"/>
        <v/>
      </c>
      <c r="L131" s="20" t="str">
        <f>IF(C131="","",IF(COUNTIF('01_rules'!$A$2:$A$39,C131)=0,"rule 없음",""))</f>
        <v/>
      </c>
      <c r="M131" s="20" t="str">
        <f t="shared" si="7"/>
        <v/>
      </c>
      <c r="N131" s="20" t="str">
        <f t="shared" si="8"/>
        <v/>
      </c>
    </row>
    <row r="132" spans="1:14" ht="15" customHeight="1">
      <c r="A132" s="17" t="s">
        <v>3749</v>
      </c>
      <c r="B132" s="17" t="s">
        <v>163</v>
      </c>
      <c r="C132" s="17" t="s">
        <v>161</v>
      </c>
      <c r="D132" s="17" t="s">
        <v>3750</v>
      </c>
      <c r="E132" s="17" t="s">
        <v>966</v>
      </c>
      <c r="F132" s="17" t="s">
        <v>1959</v>
      </c>
      <c r="G132" s="17" t="s">
        <v>3751</v>
      </c>
      <c r="H132" s="17" t="s">
        <v>3752</v>
      </c>
      <c r="I132" s="19" t="s">
        <v>95</v>
      </c>
      <c r="J132" s="24"/>
      <c r="K132" s="20" t="str">
        <f t="shared" si="6"/>
        <v/>
      </c>
      <c r="L132" s="20" t="str">
        <f>IF(C132="","",IF(COUNTIF('01_rules'!$A$2:$A$39,C132)=0,"rule 없음",""))</f>
        <v/>
      </c>
      <c r="M132" s="20" t="str">
        <f t="shared" si="7"/>
        <v/>
      </c>
      <c r="N132" s="20" t="str">
        <f t="shared" si="8"/>
        <v/>
      </c>
    </row>
    <row r="133" spans="1:14" ht="15" customHeight="1">
      <c r="A133" s="17" t="s">
        <v>3753</v>
      </c>
      <c r="B133" s="17" t="s">
        <v>163</v>
      </c>
      <c r="C133" s="17" t="s">
        <v>161</v>
      </c>
      <c r="D133" s="17" t="s">
        <v>3754</v>
      </c>
      <c r="E133" s="17" t="s">
        <v>969</v>
      </c>
      <c r="F133" s="17" t="s">
        <v>1959</v>
      </c>
      <c r="G133" s="17" t="s">
        <v>3751</v>
      </c>
      <c r="H133" s="17" t="s">
        <v>3752</v>
      </c>
      <c r="I133" s="19" t="s">
        <v>95</v>
      </c>
      <c r="J133" s="24"/>
      <c r="K133" s="20" t="str">
        <f t="shared" si="6"/>
        <v/>
      </c>
      <c r="L133" s="20" t="str">
        <f>IF(C133="","",IF(COUNTIF('01_rules'!$A$2:$A$39,C133)=0,"rule 없음",""))</f>
        <v/>
      </c>
      <c r="M133" s="20" t="str">
        <f t="shared" si="7"/>
        <v/>
      </c>
      <c r="N133" s="20" t="str">
        <f t="shared" si="8"/>
        <v/>
      </c>
    </row>
    <row r="134" spans="1:14" ht="15" customHeight="1">
      <c r="A134" s="17" t="s">
        <v>3755</v>
      </c>
      <c r="B134" s="17" t="s">
        <v>163</v>
      </c>
      <c r="C134" s="17" t="s">
        <v>161</v>
      </c>
      <c r="D134" s="17" t="s">
        <v>3756</v>
      </c>
      <c r="E134" s="17" t="s">
        <v>972</v>
      </c>
      <c r="F134" s="17" t="s">
        <v>2111</v>
      </c>
      <c r="G134" s="17" t="s">
        <v>3757</v>
      </c>
      <c r="H134" s="17" t="s">
        <v>3758</v>
      </c>
      <c r="I134" s="19" t="s">
        <v>95</v>
      </c>
      <c r="J134" s="24"/>
      <c r="K134" s="20" t="str">
        <f t="shared" si="6"/>
        <v/>
      </c>
      <c r="L134" s="20" t="str">
        <f>IF(C134="","",IF(COUNTIF('01_rules'!$A$2:$A$39,C134)=0,"rule 없음",""))</f>
        <v/>
      </c>
      <c r="M134" s="20" t="str">
        <f t="shared" si="7"/>
        <v/>
      </c>
      <c r="N134" s="20" t="str">
        <f t="shared" si="8"/>
        <v/>
      </c>
    </row>
    <row r="135" spans="1:14" ht="15" customHeight="1">
      <c r="A135" s="17" t="s">
        <v>3759</v>
      </c>
      <c r="B135" s="17" t="s">
        <v>163</v>
      </c>
      <c r="C135" s="17" t="s">
        <v>168</v>
      </c>
      <c r="D135" s="17" t="s">
        <v>173</v>
      </c>
      <c r="E135" s="17" t="s">
        <v>975</v>
      </c>
      <c r="F135" s="17" t="s">
        <v>2303</v>
      </c>
      <c r="G135" s="17" t="s">
        <v>3760</v>
      </c>
      <c r="H135" s="17" t="s">
        <v>3761</v>
      </c>
      <c r="I135" s="19" t="s">
        <v>95</v>
      </c>
      <c r="J135" s="24"/>
      <c r="K135" s="20" t="str">
        <f t="shared" si="6"/>
        <v/>
      </c>
      <c r="L135" s="20" t="str">
        <f>IF(C135="","",IF(COUNTIF('01_rules'!$A$2:$A$39,C135)=0,"rule 없음",""))</f>
        <v/>
      </c>
      <c r="M135" s="20" t="str">
        <f t="shared" si="7"/>
        <v/>
      </c>
      <c r="N135" s="20" t="str">
        <f t="shared" si="8"/>
        <v/>
      </c>
    </row>
    <row r="136" spans="1:14" ht="15" customHeight="1">
      <c r="A136" s="17" t="s">
        <v>3762</v>
      </c>
      <c r="B136" s="17" t="s">
        <v>163</v>
      </c>
      <c r="C136" s="17" t="s">
        <v>168</v>
      </c>
      <c r="D136" s="17" t="s">
        <v>3763</v>
      </c>
      <c r="E136" s="17" t="s">
        <v>978</v>
      </c>
      <c r="F136" s="17" t="s">
        <v>2306</v>
      </c>
      <c r="G136" s="17" t="s">
        <v>3764</v>
      </c>
      <c r="H136" s="17" t="s">
        <v>3765</v>
      </c>
      <c r="I136" s="19" t="s">
        <v>95</v>
      </c>
      <c r="J136" s="24"/>
      <c r="K136" s="20" t="str">
        <f t="shared" si="6"/>
        <v/>
      </c>
      <c r="L136" s="20" t="str">
        <f>IF(C136="","",IF(COUNTIF('01_rules'!$A$2:$A$39,C136)=0,"rule 없음",""))</f>
        <v/>
      </c>
      <c r="M136" s="20" t="str">
        <f t="shared" si="7"/>
        <v/>
      </c>
      <c r="N136" s="20" t="str">
        <f t="shared" si="8"/>
        <v/>
      </c>
    </row>
    <row r="137" spans="1:14" ht="15" customHeight="1">
      <c r="A137" s="17" t="s">
        <v>3766</v>
      </c>
      <c r="B137" s="17" t="s">
        <v>163</v>
      </c>
      <c r="C137" s="17" t="s">
        <v>334</v>
      </c>
      <c r="D137" s="17" t="s">
        <v>3767</v>
      </c>
      <c r="E137" s="17" t="s">
        <v>981</v>
      </c>
      <c r="F137" s="17" t="s">
        <v>3396</v>
      </c>
      <c r="G137" s="17" t="s">
        <v>3397</v>
      </c>
      <c r="H137" s="17" t="s">
        <v>3398</v>
      </c>
      <c r="I137" s="19" t="s">
        <v>95</v>
      </c>
      <c r="J137" s="24"/>
      <c r="K137" s="20" t="str">
        <f t="shared" si="6"/>
        <v/>
      </c>
      <c r="L137" s="20" t="str">
        <f>IF(C137="","",IF(COUNTIF('01_rules'!$A$2:$A$39,C137)=0,"rule 없음",""))</f>
        <v/>
      </c>
      <c r="M137" s="20" t="str">
        <f t="shared" si="7"/>
        <v/>
      </c>
      <c r="N137" s="20" t="str">
        <f t="shared" si="8"/>
        <v/>
      </c>
    </row>
    <row r="138" spans="1:14" ht="15" customHeight="1">
      <c r="A138" s="17" t="s">
        <v>3768</v>
      </c>
      <c r="B138" s="17" t="s">
        <v>163</v>
      </c>
      <c r="C138" s="17" t="s">
        <v>334</v>
      </c>
      <c r="D138" s="17" t="s">
        <v>3769</v>
      </c>
      <c r="E138" s="17" t="s">
        <v>984</v>
      </c>
      <c r="F138" s="17" t="s">
        <v>3396</v>
      </c>
      <c r="G138" s="17" t="s">
        <v>3397</v>
      </c>
      <c r="H138" s="17" t="s">
        <v>3398</v>
      </c>
      <c r="I138" s="19" t="s">
        <v>95</v>
      </c>
      <c r="J138" s="24"/>
      <c r="K138" s="20" t="str">
        <f t="shared" si="6"/>
        <v/>
      </c>
      <c r="L138" s="20" t="str">
        <f>IF(C138="","",IF(COUNTIF('01_rules'!$A$2:$A$39,C138)=0,"rule 없음",""))</f>
        <v/>
      </c>
      <c r="M138" s="20" t="str">
        <f t="shared" si="7"/>
        <v/>
      </c>
      <c r="N138" s="20" t="str">
        <f t="shared" si="8"/>
        <v/>
      </c>
    </row>
    <row r="139" spans="1:14" ht="15" customHeight="1">
      <c r="A139" s="17" t="s">
        <v>3770</v>
      </c>
      <c r="B139" s="17" t="s">
        <v>163</v>
      </c>
      <c r="C139" s="17" t="s">
        <v>334</v>
      </c>
      <c r="D139" s="17" t="s">
        <v>3771</v>
      </c>
      <c r="E139" s="17" t="s">
        <v>987</v>
      </c>
      <c r="F139" s="17" t="s">
        <v>3772</v>
      </c>
      <c r="G139" s="17" t="s">
        <v>2318</v>
      </c>
      <c r="H139" s="17" t="s">
        <v>3773</v>
      </c>
      <c r="I139" s="19" t="s">
        <v>95</v>
      </c>
      <c r="J139" s="24"/>
      <c r="K139" s="20" t="str">
        <f t="shared" si="6"/>
        <v/>
      </c>
      <c r="L139" s="20" t="str">
        <f>IF(C139="","",IF(COUNTIF('01_rules'!$A$2:$A$39,C139)=0,"rule 없음",""))</f>
        <v/>
      </c>
      <c r="M139" s="20" t="str">
        <f t="shared" si="7"/>
        <v/>
      </c>
      <c r="N139" s="20" t="str">
        <f t="shared" si="8"/>
        <v/>
      </c>
    </row>
    <row r="140" spans="1:14" ht="15" customHeight="1">
      <c r="A140" s="17" t="s">
        <v>3774</v>
      </c>
      <c r="B140" s="17" t="s">
        <v>163</v>
      </c>
      <c r="C140" s="17" t="s">
        <v>334</v>
      </c>
      <c r="D140" s="17" t="s">
        <v>3775</v>
      </c>
      <c r="E140" s="17" t="s">
        <v>990</v>
      </c>
      <c r="F140" s="17" t="s">
        <v>3396</v>
      </c>
      <c r="G140" s="17" t="s">
        <v>3397</v>
      </c>
      <c r="H140" s="17" t="s">
        <v>3398</v>
      </c>
      <c r="I140" s="19" t="s">
        <v>95</v>
      </c>
      <c r="J140" s="24"/>
      <c r="K140" s="20" t="str">
        <f t="shared" si="6"/>
        <v/>
      </c>
      <c r="L140" s="20" t="str">
        <f>IF(C140="","",IF(COUNTIF('01_rules'!$A$2:$A$39,C140)=0,"rule 없음",""))</f>
        <v/>
      </c>
      <c r="M140" s="20" t="str">
        <f t="shared" si="7"/>
        <v/>
      </c>
      <c r="N140" s="20" t="str">
        <f t="shared" si="8"/>
        <v/>
      </c>
    </row>
    <row r="141" spans="1:14" ht="15" customHeight="1">
      <c r="A141" s="17" t="s">
        <v>3776</v>
      </c>
      <c r="B141" s="17" t="s">
        <v>163</v>
      </c>
      <c r="C141" s="17" t="s">
        <v>334</v>
      </c>
      <c r="D141" s="17" t="s">
        <v>3777</v>
      </c>
      <c r="E141" s="17" t="s">
        <v>993</v>
      </c>
      <c r="F141" s="17" t="s">
        <v>3396</v>
      </c>
      <c r="G141" s="17" t="s">
        <v>3397</v>
      </c>
      <c r="H141" s="17" t="s">
        <v>3398</v>
      </c>
      <c r="I141" s="19" t="s">
        <v>95</v>
      </c>
      <c r="J141" s="24"/>
      <c r="K141" s="20" t="str">
        <f t="shared" si="6"/>
        <v/>
      </c>
      <c r="L141" s="20" t="str">
        <f>IF(C141="","",IF(COUNTIF('01_rules'!$A$2:$A$39,C141)=0,"rule 없음",""))</f>
        <v/>
      </c>
      <c r="M141" s="20" t="str">
        <f t="shared" si="7"/>
        <v/>
      </c>
      <c r="N141" s="20" t="str">
        <f t="shared" si="8"/>
        <v/>
      </c>
    </row>
    <row r="142" spans="1:14" ht="15" customHeight="1">
      <c r="A142" s="17" t="s">
        <v>3778</v>
      </c>
      <c r="B142" s="17" t="s">
        <v>176</v>
      </c>
      <c r="C142" s="17" t="s">
        <v>174</v>
      </c>
      <c r="D142" s="17" t="s">
        <v>180</v>
      </c>
      <c r="E142" s="17" t="s">
        <v>996</v>
      </c>
      <c r="F142" s="17" t="s">
        <v>3566</v>
      </c>
      <c r="G142" s="17" t="s">
        <v>3779</v>
      </c>
      <c r="H142" s="17" t="s">
        <v>3780</v>
      </c>
      <c r="I142" s="19" t="s">
        <v>95</v>
      </c>
      <c r="J142" s="24"/>
      <c r="K142" s="20" t="str">
        <f t="shared" si="6"/>
        <v/>
      </c>
      <c r="L142" s="20" t="str">
        <f>IF(C142="","",IF(COUNTIF('01_rules'!$A$2:$A$39,C142)=0,"rule 없음",""))</f>
        <v/>
      </c>
      <c r="M142" s="20" t="str">
        <f t="shared" si="7"/>
        <v/>
      </c>
      <c r="N142" s="20" t="str">
        <f t="shared" si="8"/>
        <v/>
      </c>
    </row>
    <row r="143" spans="1:14" ht="15" customHeight="1">
      <c r="A143" s="17" t="s">
        <v>3781</v>
      </c>
      <c r="B143" s="17" t="s">
        <v>176</v>
      </c>
      <c r="C143" s="17" t="s">
        <v>174</v>
      </c>
      <c r="D143" s="17" t="s">
        <v>3782</v>
      </c>
      <c r="E143" s="17" t="s">
        <v>999</v>
      </c>
      <c r="F143" s="17" t="s">
        <v>3566</v>
      </c>
      <c r="G143" s="17" t="s">
        <v>3779</v>
      </c>
      <c r="H143" s="17" t="s">
        <v>3780</v>
      </c>
      <c r="I143" s="19" t="s">
        <v>95</v>
      </c>
      <c r="J143" s="24"/>
      <c r="K143" s="20" t="str">
        <f t="shared" si="6"/>
        <v/>
      </c>
      <c r="L143" s="20" t="str">
        <f>IF(C143="","",IF(COUNTIF('01_rules'!$A$2:$A$39,C143)=0,"rule 없음",""))</f>
        <v/>
      </c>
      <c r="M143" s="20" t="str">
        <f t="shared" si="7"/>
        <v/>
      </c>
      <c r="N143" s="20" t="str">
        <f t="shared" si="8"/>
        <v/>
      </c>
    </row>
    <row r="144" spans="1:14" ht="15" customHeight="1">
      <c r="A144" s="17" t="s">
        <v>3783</v>
      </c>
      <c r="B144" s="17" t="s">
        <v>176</v>
      </c>
      <c r="C144" s="17" t="s">
        <v>174</v>
      </c>
      <c r="D144" s="17" t="s">
        <v>3784</v>
      </c>
      <c r="E144" s="17" t="s">
        <v>1002</v>
      </c>
      <c r="F144" s="17" t="s">
        <v>3566</v>
      </c>
      <c r="G144" s="17" t="s">
        <v>3779</v>
      </c>
      <c r="H144" s="17" t="s">
        <v>3780</v>
      </c>
      <c r="I144" s="19" t="s">
        <v>95</v>
      </c>
      <c r="J144" s="24"/>
      <c r="K144" s="20" t="str">
        <f t="shared" si="6"/>
        <v/>
      </c>
      <c r="L144" s="20" t="str">
        <f>IF(C144="","",IF(COUNTIF('01_rules'!$A$2:$A$39,C144)=0,"rule 없음",""))</f>
        <v/>
      </c>
      <c r="M144" s="20" t="str">
        <f t="shared" si="7"/>
        <v/>
      </c>
      <c r="N144" s="20" t="str">
        <f t="shared" si="8"/>
        <v/>
      </c>
    </row>
    <row r="145" spans="1:14" ht="15" customHeight="1">
      <c r="A145" s="17" t="s">
        <v>3785</v>
      </c>
      <c r="B145" s="17" t="s">
        <v>176</v>
      </c>
      <c r="C145" s="17" t="s">
        <v>174</v>
      </c>
      <c r="D145" s="17" t="s">
        <v>3786</v>
      </c>
      <c r="E145" s="17" t="s">
        <v>1005</v>
      </c>
      <c r="F145" s="17" t="s">
        <v>3566</v>
      </c>
      <c r="G145" s="17" t="s">
        <v>3779</v>
      </c>
      <c r="H145" s="17" t="s">
        <v>3780</v>
      </c>
      <c r="I145" s="19" t="s">
        <v>95</v>
      </c>
      <c r="J145" s="24"/>
      <c r="K145" s="20" t="str">
        <f t="shared" si="6"/>
        <v/>
      </c>
      <c r="L145" s="20" t="str">
        <f>IF(C145="","",IF(COUNTIF('01_rules'!$A$2:$A$39,C145)=0,"rule 없음",""))</f>
        <v/>
      </c>
      <c r="M145" s="20" t="str">
        <f t="shared" si="7"/>
        <v/>
      </c>
      <c r="N145" s="20" t="str">
        <f t="shared" si="8"/>
        <v/>
      </c>
    </row>
    <row r="146" spans="1:14" ht="15" customHeight="1">
      <c r="A146" s="17" t="s">
        <v>3787</v>
      </c>
      <c r="B146" s="17" t="s">
        <v>176</v>
      </c>
      <c r="C146" s="17" t="s">
        <v>174</v>
      </c>
      <c r="D146" s="17" t="s">
        <v>3788</v>
      </c>
      <c r="E146" s="17" t="s">
        <v>1008</v>
      </c>
      <c r="F146" s="17" t="s">
        <v>3566</v>
      </c>
      <c r="G146" s="17" t="s">
        <v>3779</v>
      </c>
      <c r="H146" s="17" t="s">
        <v>3780</v>
      </c>
      <c r="I146" s="19" t="s">
        <v>95</v>
      </c>
      <c r="J146" s="24"/>
      <c r="K146" s="20" t="str">
        <f t="shared" si="6"/>
        <v/>
      </c>
      <c r="L146" s="20" t="str">
        <f>IF(C146="","",IF(COUNTIF('01_rules'!$A$2:$A$39,C146)=0,"rule 없음",""))</f>
        <v/>
      </c>
      <c r="M146" s="20" t="str">
        <f t="shared" si="7"/>
        <v/>
      </c>
      <c r="N146" s="20" t="str">
        <f t="shared" si="8"/>
        <v/>
      </c>
    </row>
    <row r="147" spans="1:14" ht="15" customHeight="1">
      <c r="A147" s="17" t="s">
        <v>3789</v>
      </c>
      <c r="B147" s="17" t="s">
        <v>176</v>
      </c>
      <c r="C147" s="17" t="s">
        <v>174</v>
      </c>
      <c r="D147" s="17" t="s">
        <v>3790</v>
      </c>
      <c r="E147" s="17" t="s">
        <v>1011</v>
      </c>
      <c r="F147" s="17" t="s">
        <v>3566</v>
      </c>
      <c r="G147" s="17" t="s">
        <v>3779</v>
      </c>
      <c r="H147" s="17" t="s">
        <v>3780</v>
      </c>
      <c r="I147" s="19" t="s">
        <v>95</v>
      </c>
      <c r="J147" s="24"/>
      <c r="K147" s="20" t="str">
        <f t="shared" si="6"/>
        <v/>
      </c>
      <c r="L147" s="20" t="str">
        <f>IF(C147="","",IF(COUNTIF('01_rules'!$A$2:$A$39,C147)=0,"rule 없음",""))</f>
        <v/>
      </c>
      <c r="M147" s="20" t="str">
        <f t="shared" si="7"/>
        <v/>
      </c>
      <c r="N147" s="20" t="str">
        <f t="shared" si="8"/>
        <v/>
      </c>
    </row>
    <row r="148" spans="1:14" ht="15" customHeight="1">
      <c r="A148" s="17" t="s">
        <v>3791</v>
      </c>
      <c r="B148" s="17" t="s">
        <v>176</v>
      </c>
      <c r="C148" s="17" t="s">
        <v>174</v>
      </c>
      <c r="D148" s="17" t="s">
        <v>3792</v>
      </c>
      <c r="E148" s="17" t="s">
        <v>1014</v>
      </c>
      <c r="F148" s="17" t="s">
        <v>3566</v>
      </c>
      <c r="G148" s="17" t="s">
        <v>3779</v>
      </c>
      <c r="H148" s="17" t="s">
        <v>3780</v>
      </c>
      <c r="I148" s="19" t="s">
        <v>95</v>
      </c>
      <c r="J148" s="24"/>
      <c r="K148" s="20" t="str">
        <f t="shared" si="6"/>
        <v/>
      </c>
      <c r="L148" s="20" t="str">
        <f>IF(C148="","",IF(COUNTIF('01_rules'!$A$2:$A$39,C148)=0,"rule 없음",""))</f>
        <v/>
      </c>
      <c r="M148" s="20" t="str">
        <f t="shared" si="7"/>
        <v/>
      </c>
      <c r="N148" s="20" t="str">
        <f t="shared" si="8"/>
        <v/>
      </c>
    </row>
    <row r="149" spans="1:14" ht="15" customHeight="1">
      <c r="A149" s="17" t="s">
        <v>3793</v>
      </c>
      <c r="B149" s="17" t="s">
        <v>176</v>
      </c>
      <c r="C149" s="17" t="s">
        <v>174</v>
      </c>
      <c r="D149" s="17" t="s">
        <v>3794</v>
      </c>
      <c r="E149" s="17" t="s">
        <v>1017</v>
      </c>
      <c r="F149" s="17" t="s">
        <v>3566</v>
      </c>
      <c r="G149" s="17" t="s">
        <v>3779</v>
      </c>
      <c r="H149" s="17" t="s">
        <v>3780</v>
      </c>
      <c r="I149" s="19" t="s">
        <v>95</v>
      </c>
      <c r="J149" s="24"/>
      <c r="K149" s="20" t="str">
        <f t="shared" si="6"/>
        <v/>
      </c>
      <c r="L149" s="20" t="str">
        <f>IF(C149="","",IF(COUNTIF('01_rules'!$A$2:$A$39,C149)=0,"rule 없음",""))</f>
        <v/>
      </c>
      <c r="M149" s="20" t="str">
        <f t="shared" si="7"/>
        <v/>
      </c>
      <c r="N149" s="20" t="str">
        <f t="shared" si="8"/>
        <v/>
      </c>
    </row>
    <row r="150" spans="1:14" ht="15" customHeight="1">
      <c r="A150" s="17" t="s">
        <v>3795</v>
      </c>
      <c r="B150" s="17" t="s">
        <v>176</v>
      </c>
      <c r="C150" s="17" t="s">
        <v>174</v>
      </c>
      <c r="D150" s="17" t="s">
        <v>3796</v>
      </c>
      <c r="E150" s="17" t="s">
        <v>1020</v>
      </c>
      <c r="F150" s="17" t="s">
        <v>3566</v>
      </c>
      <c r="G150" s="17" t="s">
        <v>3779</v>
      </c>
      <c r="H150" s="17" t="s">
        <v>3780</v>
      </c>
      <c r="I150" s="19" t="s">
        <v>95</v>
      </c>
      <c r="J150" s="24"/>
      <c r="K150" s="20" t="str">
        <f t="shared" si="6"/>
        <v/>
      </c>
      <c r="L150" s="20" t="str">
        <f>IF(C150="","",IF(COUNTIF('01_rules'!$A$2:$A$39,C150)=0,"rule 없음",""))</f>
        <v/>
      </c>
      <c r="M150" s="20" t="str">
        <f t="shared" si="7"/>
        <v/>
      </c>
      <c r="N150" s="20" t="str">
        <f t="shared" si="8"/>
        <v/>
      </c>
    </row>
    <row r="151" spans="1:14" ht="15" customHeight="1">
      <c r="A151" s="17" t="s">
        <v>3797</v>
      </c>
      <c r="B151" s="17" t="s">
        <v>176</v>
      </c>
      <c r="C151" s="17" t="s">
        <v>334</v>
      </c>
      <c r="D151" s="17" t="s">
        <v>3798</v>
      </c>
      <c r="E151" s="17" t="s">
        <v>1023</v>
      </c>
      <c r="F151" s="17" t="s">
        <v>3799</v>
      </c>
      <c r="G151" s="17" t="s">
        <v>3800</v>
      </c>
      <c r="H151" s="17" t="s">
        <v>3801</v>
      </c>
      <c r="I151" s="19" t="s">
        <v>95</v>
      </c>
      <c r="J151" s="24"/>
      <c r="K151" s="20" t="str">
        <f t="shared" si="6"/>
        <v/>
      </c>
      <c r="L151" s="20" t="str">
        <f>IF(C151="","",IF(COUNTIF('01_rules'!$A$2:$A$39,C151)=0,"rule 없음",""))</f>
        <v/>
      </c>
      <c r="M151" s="20" t="str">
        <f t="shared" si="7"/>
        <v/>
      </c>
      <c r="N151" s="20" t="str">
        <f t="shared" si="8"/>
        <v/>
      </c>
    </row>
    <row r="152" spans="1:14" ht="15" customHeight="1">
      <c r="A152" s="17" t="s">
        <v>3802</v>
      </c>
      <c r="B152" s="17" t="s">
        <v>176</v>
      </c>
      <c r="C152" s="17" t="s">
        <v>334</v>
      </c>
      <c r="D152" s="17" t="s">
        <v>3803</v>
      </c>
      <c r="E152" s="17" t="s">
        <v>1026</v>
      </c>
      <c r="F152" s="17" t="s">
        <v>3804</v>
      </c>
      <c r="G152" s="17" t="s">
        <v>3805</v>
      </c>
      <c r="H152" s="17" t="s">
        <v>3806</v>
      </c>
      <c r="I152" s="19" t="s">
        <v>95</v>
      </c>
      <c r="J152" s="24"/>
      <c r="K152" s="20" t="str">
        <f t="shared" si="6"/>
        <v/>
      </c>
      <c r="L152" s="20" t="str">
        <f>IF(C152="","",IF(COUNTIF('01_rules'!$A$2:$A$39,C152)=0,"rule 없음",""))</f>
        <v/>
      </c>
      <c r="M152" s="20" t="str">
        <f t="shared" si="7"/>
        <v/>
      </c>
      <c r="N152" s="20" t="str">
        <f t="shared" si="8"/>
        <v/>
      </c>
    </row>
    <row r="153" spans="1:14" ht="15" customHeight="1">
      <c r="A153" s="17" t="s">
        <v>3807</v>
      </c>
      <c r="B153" s="17" t="s">
        <v>176</v>
      </c>
      <c r="C153" s="17" t="s">
        <v>181</v>
      </c>
      <c r="D153" s="17" t="s">
        <v>3808</v>
      </c>
      <c r="E153" s="17" t="s">
        <v>1029</v>
      </c>
      <c r="F153" s="17" t="s">
        <v>3809</v>
      </c>
      <c r="G153" s="17" t="s">
        <v>3810</v>
      </c>
      <c r="H153" s="17" t="s">
        <v>3811</v>
      </c>
      <c r="I153" s="19" t="s">
        <v>95</v>
      </c>
      <c r="J153" s="24"/>
      <c r="K153" s="20" t="str">
        <f t="shared" si="6"/>
        <v/>
      </c>
      <c r="L153" s="20" t="str">
        <f>IF(C153="","",IF(COUNTIF('01_rules'!$A$2:$A$39,C153)=0,"rule 없음",""))</f>
        <v/>
      </c>
      <c r="M153" s="20" t="str">
        <f t="shared" si="7"/>
        <v/>
      </c>
      <c r="N153" s="20" t="str">
        <f t="shared" si="8"/>
        <v/>
      </c>
    </row>
    <row r="154" spans="1:14" ht="15" customHeight="1">
      <c r="A154" s="17" t="s">
        <v>3812</v>
      </c>
      <c r="B154" s="17" t="s">
        <v>176</v>
      </c>
      <c r="C154" s="17" t="s">
        <v>334</v>
      </c>
      <c r="D154" s="17" t="s">
        <v>3813</v>
      </c>
      <c r="E154" s="17" t="s">
        <v>1032</v>
      </c>
      <c r="F154" s="17" t="s">
        <v>3396</v>
      </c>
      <c r="G154" s="17" t="s">
        <v>3397</v>
      </c>
      <c r="H154" s="17" t="s">
        <v>3398</v>
      </c>
      <c r="I154" s="19" t="s">
        <v>95</v>
      </c>
      <c r="J154" s="24"/>
      <c r="K154" s="20" t="str">
        <f t="shared" si="6"/>
        <v/>
      </c>
      <c r="L154" s="20" t="str">
        <f>IF(C154="","",IF(COUNTIF('01_rules'!$A$2:$A$39,C154)=0,"rule 없음",""))</f>
        <v/>
      </c>
      <c r="M154" s="20" t="str">
        <f t="shared" si="7"/>
        <v/>
      </c>
      <c r="N154" s="20" t="str">
        <f t="shared" si="8"/>
        <v/>
      </c>
    </row>
    <row r="155" spans="1:14" ht="15" customHeight="1">
      <c r="A155" s="17" t="s">
        <v>3814</v>
      </c>
      <c r="B155" s="17" t="s">
        <v>176</v>
      </c>
      <c r="C155" s="17" t="s">
        <v>87</v>
      </c>
      <c r="D155" s="17" t="s">
        <v>3815</v>
      </c>
      <c r="E155" s="17" t="s">
        <v>1035</v>
      </c>
      <c r="F155" s="17" t="s">
        <v>3816</v>
      </c>
      <c r="G155" s="17" t="s">
        <v>3817</v>
      </c>
      <c r="H155" s="17" t="s">
        <v>3343</v>
      </c>
      <c r="I155" s="19" t="s">
        <v>95</v>
      </c>
      <c r="J155" s="24"/>
      <c r="K155" s="20" t="str">
        <f t="shared" si="6"/>
        <v/>
      </c>
      <c r="L155" s="20" t="str">
        <f>IF(C155="","",IF(COUNTIF('01_rules'!$A$2:$A$39,C155)=0,"rule 없음",""))</f>
        <v/>
      </c>
      <c r="M155" s="20" t="str">
        <f t="shared" si="7"/>
        <v/>
      </c>
      <c r="N155" s="20" t="str">
        <f t="shared" si="8"/>
        <v/>
      </c>
    </row>
    <row r="156" spans="1:14" ht="15" customHeight="1">
      <c r="A156" s="17" t="s">
        <v>3818</v>
      </c>
      <c r="B156" s="17" t="s">
        <v>176</v>
      </c>
      <c r="C156" s="17" t="s">
        <v>87</v>
      </c>
      <c r="D156" s="17" t="s">
        <v>3819</v>
      </c>
      <c r="E156" s="17" t="s">
        <v>1038</v>
      </c>
      <c r="F156" s="17" t="s">
        <v>3820</v>
      </c>
      <c r="G156" s="17" t="s">
        <v>3821</v>
      </c>
      <c r="H156" s="17" t="s">
        <v>3343</v>
      </c>
      <c r="I156" s="19" t="s">
        <v>95</v>
      </c>
      <c r="J156" s="24"/>
      <c r="K156" s="20" t="str">
        <f t="shared" si="6"/>
        <v/>
      </c>
      <c r="L156" s="20" t="str">
        <f>IF(C156="","",IF(COUNTIF('01_rules'!$A$2:$A$39,C156)=0,"rule 없음",""))</f>
        <v/>
      </c>
      <c r="M156" s="20" t="str">
        <f t="shared" si="7"/>
        <v/>
      </c>
      <c r="N156" s="20" t="str">
        <f t="shared" si="8"/>
        <v/>
      </c>
    </row>
    <row r="157" spans="1:14" ht="15" customHeight="1">
      <c r="A157" s="17" t="s">
        <v>3822</v>
      </c>
      <c r="B157" s="17" t="s">
        <v>176</v>
      </c>
      <c r="C157" s="17" t="s">
        <v>334</v>
      </c>
      <c r="D157" s="17" t="s">
        <v>3823</v>
      </c>
      <c r="E157" s="17" t="s">
        <v>1041</v>
      </c>
      <c r="F157" s="17" t="s">
        <v>3396</v>
      </c>
      <c r="G157" s="17" t="s">
        <v>3397</v>
      </c>
      <c r="H157" s="17" t="s">
        <v>3398</v>
      </c>
      <c r="I157" s="19" t="s">
        <v>95</v>
      </c>
      <c r="J157" s="24"/>
      <c r="K157" s="20" t="str">
        <f t="shared" si="6"/>
        <v/>
      </c>
      <c r="L157" s="20" t="str">
        <f>IF(C157="","",IF(COUNTIF('01_rules'!$A$2:$A$39,C157)=0,"rule 없음",""))</f>
        <v/>
      </c>
      <c r="M157" s="20" t="str">
        <f t="shared" si="7"/>
        <v/>
      </c>
      <c r="N157" s="20" t="str">
        <f t="shared" si="8"/>
        <v/>
      </c>
    </row>
    <row r="158" spans="1:14" ht="15" customHeight="1">
      <c r="A158" s="17" t="s">
        <v>3824</v>
      </c>
      <c r="B158" s="17" t="s">
        <v>176</v>
      </c>
      <c r="C158" s="17" t="s">
        <v>334</v>
      </c>
      <c r="D158" s="17" t="s">
        <v>3825</v>
      </c>
      <c r="E158" s="17" t="s">
        <v>1044</v>
      </c>
      <c r="F158" s="17" t="s">
        <v>3396</v>
      </c>
      <c r="G158" s="17" t="s">
        <v>3397</v>
      </c>
      <c r="H158" s="17" t="s">
        <v>3398</v>
      </c>
      <c r="I158" s="19" t="s">
        <v>95</v>
      </c>
      <c r="J158" s="24"/>
      <c r="K158" s="20" t="str">
        <f t="shared" si="6"/>
        <v/>
      </c>
      <c r="L158" s="20" t="str">
        <f>IF(C158="","",IF(COUNTIF('01_rules'!$A$2:$A$39,C158)=0,"rule 없음",""))</f>
        <v/>
      </c>
      <c r="M158" s="20" t="str">
        <f t="shared" si="7"/>
        <v/>
      </c>
      <c r="N158" s="20" t="str">
        <f t="shared" si="8"/>
        <v/>
      </c>
    </row>
    <row r="159" spans="1:14" ht="15" customHeight="1">
      <c r="A159" s="17" t="s">
        <v>3826</v>
      </c>
      <c r="B159" s="17" t="s">
        <v>176</v>
      </c>
      <c r="C159" s="17" t="s">
        <v>141</v>
      </c>
      <c r="D159" s="17" t="s">
        <v>3827</v>
      </c>
      <c r="E159" s="17" t="s">
        <v>1047</v>
      </c>
      <c r="F159" s="17" t="s">
        <v>3593</v>
      </c>
      <c r="G159" s="17" t="s">
        <v>3594</v>
      </c>
      <c r="H159" s="17" t="s">
        <v>3595</v>
      </c>
      <c r="I159" s="19" t="s">
        <v>95</v>
      </c>
      <c r="J159" s="24"/>
      <c r="K159" s="20" t="str">
        <f t="shared" si="6"/>
        <v/>
      </c>
      <c r="L159" s="20" t="str">
        <f>IF(C159="","",IF(COUNTIF('01_rules'!$A$2:$A$39,C159)=0,"rule 없음",""))</f>
        <v/>
      </c>
      <c r="M159" s="20" t="str">
        <f t="shared" si="7"/>
        <v/>
      </c>
      <c r="N159" s="20" t="str">
        <f t="shared" si="8"/>
        <v/>
      </c>
    </row>
    <row r="160" spans="1:14" ht="23.25" customHeight="1">
      <c r="A160" s="17" t="s">
        <v>3828</v>
      </c>
      <c r="B160" s="17" t="s">
        <v>176</v>
      </c>
      <c r="C160" s="17" t="s">
        <v>141</v>
      </c>
      <c r="D160" s="17" t="s">
        <v>3829</v>
      </c>
      <c r="E160" s="17" t="s">
        <v>1050</v>
      </c>
      <c r="F160" s="17" t="s">
        <v>3593</v>
      </c>
      <c r="G160" s="17" t="s">
        <v>3594</v>
      </c>
      <c r="H160" s="17" t="s">
        <v>3595</v>
      </c>
      <c r="I160" s="19" t="s">
        <v>95</v>
      </c>
      <c r="J160" s="24"/>
      <c r="K160" s="20" t="str">
        <f t="shared" si="6"/>
        <v/>
      </c>
      <c r="L160" s="20" t="str">
        <f>IF(C160="","",IF(COUNTIF('01_rules'!$A$2:$A$39,C160)=0,"rule 없음",""))</f>
        <v/>
      </c>
      <c r="M160" s="20" t="str">
        <f t="shared" si="7"/>
        <v/>
      </c>
      <c r="N160" s="20" t="str">
        <f t="shared" si="8"/>
        <v/>
      </c>
    </row>
    <row r="161" spans="1:14" ht="15" customHeight="1">
      <c r="A161" s="17" t="s">
        <v>3830</v>
      </c>
      <c r="B161" s="17" t="s">
        <v>176</v>
      </c>
      <c r="C161" s="17" t="s">
        <v>181</v>
      </c>
      <c r="D161" s="17" t="s">
        <v>3831</v>
      </c>
      <c r="E161" s="17" t="s">
        <v>1053</v>
      </c>
      <c r="F161" s="17" t="s">
        <v>3832</v>
      </c>
      <c r="G161" s="17" t="s">
        <v>3833</v>
      </c>
      <c r="H161" s="17" t="s">
        <v>3834</v>
      </c>
      <c r="I161" s="19" t="s">
        <v>95</v>
      </c>
      <c r="J161" s="24"/>
      <c r="K161" s="20" t="str">
        <f t="shared" si="6"/>
        <v/>
      </c>
      <c r="L161" s="20" t="str">
        <f>IF(C161="","",IF(COUNTIF('01_rules'!$A$2:$A$39,C161)=0,"rule 없음",""))</f>
        <v/>
      </c>
      <c r="M161" s="20" t="str">
        <f t="shared" si="7"/>
        <v/>
      </c>
      <c r="N161" s="20" t="str">
        <f t="shared" si="8"/>
        <v/>
      </c>
    </row>
    <row r="162" spans="1:14" ht="15" customHeight="1">
      <c r="A162" s="17" t="s">
        <v>3835</v>
      </c>
      <c r="B162" s="17" t="s">
        <v>189</v>
      </c>
      <c r="C162" s="17" t="s">
        <v>187</v>
      </c>
      <c r="D162" s="17" t="s">
        <v>193</v>
      </c>
      <c r="E162" s="17" t="s">
        <v>1056</v>
      </c>
      <c r="F162" s="17" t="s">
        <v>3836</v>
      </c>
      <c r="G162" s="17" t="s">
        <v>3837</v>
      </c>
      <c r="H162" s="17" t="s">
        <v>3838</v>
      </c>
      <c r="I162" s="19" t="s">
        <v>95</v>
      </c>
      <c r="J162" s="24"/>
      <c r="K162" s="20" t="str">
        <f t="shared" si="6"/>
        <v/>
      </c>
      <c r="L162" s="20" t="str">
        <f>IF(C162="","",IF(COUNTIF('01_rules'!$A$2:$A$39,C162)=0,"rule 없음",""))</f>
        <v/>
      </c>
      <c r="M162" s="20" t="str">
        <f t="shared" si="7"/>
        <v/>
      </c>
      <c r="N162" s="20" t="str">
        <f t="shared" si="8"/>
        <v/>
      </c>
    </row>
    <row r="163" spans="1:14" ht="15" customHeight="1">
      <c r="A163" s="17" t="s">
        <v>3839</v>
      </c>
      <c r="B163" s="17" t="s">
        <v>189</v>
      </c>
      <c r="C163" s="17" t="s">
        <v>187</v>
      </c>
      <c r="D163" s="17" t="s">
        <v>3840</v>
      </c>
      <c r="E163" s="17" t="s">
        <v>1059</v>
      </c>
      <c r="F163" s="17" t="s">
        <v>3836</v>
      </c>
      <c r="G163" s="17" t="s">
        <v>3837</v>
      </c>
      <c r="H163" s="17" t="s">
        <v>3838</v>
      </c>
      <c r="I163" s="19" t="s">
        <v>95</v>
      </c>
      <c r="J163" s="24"/>
      <c r="K163" s="20" t="str">
        <f t="shared" si="6"/>
        <v/>
      </c>
      <c r="L163" s="20" t="str">
        <f>IF(C163="","",IF(COUNTIF('01_rules'!$A$2:$A$39,C163)=0,"rule 없음",""))</f>
        <v/>
      </c>
      <c r="M163" s="20" t="str">
        <f t="shared" si="7"/>
        <v/>
      </c>
      <c r="N163" s="20" t="str">
        <f t="shared" si="8"/>
        <v/>
      </c>
    </row>
    <row r="164" spans="1:14" ht="23.25" customHeight="1">
      <c r="A164" s="17" t="s">
        <v>3841</v>
      </c>
      <c r="B164" s="17" t="s">
        <v>189</v>
      </c>
      <c r="C164" s="17" t="s">
        <v>187</v>
      </c>
      <c r="D164" s="17" t="s">
        <v>3842</v>
      </c>
      <c r="E164" s="17" t="s">
        <v>1062</v>
      </c>
      <c r="F164" s="17" t="s">
        <v>3836</v>
      </c>
      <c r="G164" s="17" t="s">
        <v>3837</v>
      </c>
      <c r="H164" s="17" t="s">
        <v>3838</v>
      </c>
      <c r="I164" s="19" t="s">
        <v>95</v>
      </c>
      <c r="J164" s="24"/>
      <c r="K164" s="20" t="str">
        <f t="shared" si="6"/>
        <v/>
      </c>
      <c r="L164" s="20" t="str">
        <f>IF(C164="","",IF(COUNTIF('01_rules'!$A$2:$A$39,C164)=0,"rule 없음",""))</f>
        <v/>
      </c>
      <c r="M164" s="20" t="str">
        <f t="shared" si="7"/>
        <v/>
      </c>
      <c r="N164" s="20" t="str">
        <f t="shared" si="8"/>
        <v/>
      </c>
    </row>
    <row r="165" spans="1:14" ht="15" customHeight="1">
      <c r="A165" s="17" t="s">
        <v>3843</v>
      </c>
      <c r="B165" s="17" t="s">
        <v>189</v>
      </c>
      <c r="C165" s="17" t="s">
        <v>187</v>
      </c>
      <c r="D165" s="17" t="s">
        <v>3844</v>
      </c>
      <c r="E165" s="17" t="s">
        <v>1065</v>
      </c>
      <c r="F165" s="17" t="s">
        <v>3836</v>
      </c>
      <c r="G165" s="17" t="s">
        <v>3837</v>
      </c>
      <c r="H165" s="17" t="s">
        <v>3838</v>
      </c>
      <c r="I165" s="19" t="s">
        <v>95</v>
      </c>
      <c r="J165" s="24"/>
      <c r="K165" s="20" t="str">
        <f t="shared" si="6"/>
        <v/>
      </c>
      <c r="L165" s="20" t="str">
        <f>IF(C165="","",IF(COUNTIF('01_rules'!$A$2:$A$39,C165)=0,"rule 없음",""))</f>
        <v/>
      </c>
      <c r="M165" s="20" t="str">
        <f t="shared" si="7"/>
        <v/>
      </c>
      <c r="N165" s="20" t="str">
        <f t="shared" si="8"/>
        <v/>
      </c>
    </row>
    <row r="166" spans="1:14" ht="15" customHeight="1">
      <c r="A166" s="17" t="s">
        <v>3845</v>
      </c>
      <c r="B166" s="17" t="s">
        <v>189</v>
      </c>
      <c r="C166" s="17" t="s">
        <v>334</v>
      </c>
      <c r="D166" s="17" t="s">
        <v>3846</v>
      </c>
      <c r="E166" s="17" t="s">
        <v>1068</v>
      </c>
      <c r="F166" s="17" t="s">
        <v>3396</v>
      </c>
      <c r="G166" s="17" t="s">
        <v>3397</v>
      </c>
      <c r="H166" s="17" t="s">
        <v>3398</v>
      </c>
      <c r="I166" s="19" t="s">
        <v>95</v>
      </c>
      <c r="J166" s="24"/>
      <c r="K166" s="20" t="str">
        <f t="shared" si="6"/>
        <v/>
      </c>
      <c r="L166" s="20" t="str">
        <f>IF(C166="","",IF(COUNTIF('01_rules'!$A$2:$A$39,C166)=0,"rule 없음",""))</f>
        <v/>
      </c>
      <c r="M166" s="20" t="str">
        <f t="shared" si="7"/>
        <v/>
      </c>
      <c r="N166" s="20" t="str">
        <f t="shared" si="8"/>
        <v/>
      </c>
    </row>
    <row r="167" spans="1:14" ht="23.25" customHeight="1">
      <c r="A167" s="17" t="s">
        <v>3847</v>
      </c>
      <c r="B167" s="17" t="s">
        <v>189</v>
      </c>
      <c r="C167" s="17" t="s">
        <v>334</v>
      </c>
      <c r="D167" s="17" t="s">
        <v>3848</v>
      </c>
      <c r="E167" s="17" t="s">
        <v>1071</v>
      </c>
      <c r="F167" s="17" t="s">
        <v>3396</v>
      </c>
      <c r="G167" s="17" t="s">
        <v>3397</v>
      </c>
      <c r="H167" s="17" t="s">
        <v>3398</v>
      </c>
      <c r="I167" s="19" t="s">
        <v>95</v>
      </c>
      <c r="J167" s="24"/>
      <c r="K167" s="20" t="str">
        <f t="shared" si="6"/>
        <v/>
      </c>
      <c r="L167" s="20" t="str">
        <f>IF(C167="","",IF(COUNTIF('01_rules'!$A$2:$A$39,C167)=0,"rule 없음",""))</f>
        <v/>
      </c>
      <c r="M167" s="20" t="str">
        <f t="shared" si="7"/>
        <v/>
      </c>
      <c r="N167" s="20" t="str">
        <f t="shared" si="8"/>
        <v/>
      </c>
    </row>
    <row r="168" spans="1:14" ht="23.25" customHeight="1">
      <c r="A168" s="17" t="s">
        <v>3849</v>
      </c>
      <c r="B168" s="17" t="s">
        <v>189</v>
      </c>
      <c r="C168" s="17" t="s">
        <v>334</v>
      </c>
      <c r="D168" s="17" t="s">
        <v>3850</v>
      </c>
      <c r="E168" s="17" t="s">
        <v>1074</v>
      </c>
      <c r="F168" s="17" t="s">
        <v>3396</v>
      </c>
      <c r="G168" s="17" t="s">
        <v>3397</v>
      </c>
      <c r="H168" s="17" t="s">
        <v>3398</v>
      </c>
      <c r="I168" s="19" t="s">
        <v>95</v>
      </c>
      <c r="J168" s="24"/>
      <c r="K168" s="20" t="str">
        <f t="shared" si="6"/>
        <v/>
      </c>
      <c r="L168" s="20" t="str">
        <f>IF(C168="","",IF(COUNTIF('01_rules'!$A$2:$A$39,C168)=0,"rule 없음",""))</f>
        <v/>
      </c>
      <c r="M168" s="20" t="str">
        <f t="shared" si="7"/>
        <v/>
      </c>
      <c r="N168" s="20" t="str">
        <f t="shared" si="8"/>
        <v/>
      </c>
    </row>
    <row r="169" spans="1:14" ht="15" customHeight="1">
      <c r="A169" s="17" t="s">
        <v>3851</v>
      </c>
      <c r="B169" s="17" t="s">
        <v>189</v>
      </c>
      <c r="C169" s="17" t="s">
        <v>334</v>
      </c>
      <c r="D169" s="17" t="s">
        <v>3852</v>
      </c>
      <c r="E169" s="17" t="s">
        <v>1077</v>
      </c>
      <c r="F169" s="17" t="s">
        <v>3396</v>
      </c>
      <c r="G169" s="17" t="s">
        <v>3397</v>
      </c>
      <c r="H169" s="17" t="s">
        <v>3398</v>
      </c>
      <c r="I169" s="19" t="s">
        <v>95</v>
      </c>
      <c r="J169" s="24"/>
      <c r="K169" s="20" t="str">
        <f t="shared" si="6"/>
        <v/>
      </c>
      <c r="L169" s="20" t="str">
        <f>IF(C169="","",IF(COUNTIF('01_rules'!$A$2:$A$39,C169)=0,"rule 없음",""))</f>
        <v/>
      </c>
      <c r="M169" s="20" t="str">
        <f t="shared" si="7"/>
        <v/>
      </c>
      <c r="N169" s="20" t="str">
        <f t="shared" si="8"/>
        <v/>
      </c>
    </row>
    <row r="170" spans="1:14" ht="15" customHeight="1">
      <c r="A170" s="17" t="s">
        <v>3853</v>
      </c>
      <c r="B170" s="17" t="s">
        <v>189</v>
      </c>
      <c r="C170" s="17" t="s">
        <v>334</v>
      </c>
      <c r="D170" s="17" t="s">
        <v>3854</v>
      </c>
      <c r="E170" s="17" t="s">
        <v>1080</v>
      </c>
      <c r="F170" s="17" t="s">
        <v>3396</v>
      </c>
      <c r="G170" s="17" t="s">
        <v>3397</v>
      </c>
      <c r="H170" s="17" t="s">
        <v>3398</v>
      </c>
      <c r="I170" s="19" t="s">
        <v>95</v>
      </c>
      <c r="J170" s="24"/>
      <c r="K170" s="20" t="str">
        <f t="shared" si="6"/>
        <v/>
      </c>
      <c r="L170" s="20" t="str">
        <f>IF(C170="","",IF(COUNTIF('01_rules'!$A$2:$A$39,C170)=0,"rule 없음",""))</f>
        <v/>
      </c>
      <c r="M170" s="20" t="str">
        <f t="shared" si="7"/>
        <v/>
      </c>
      <c r="N170" s="20" t="str">
        <f t="shared" si="8"/>
        <v/>
      </c>
    </row>
    <row r="171" spans="1:14" ht="23.25" customHeight="1">
      <c r="A171" s="17" t="s">
        <v>3855</v>
      </c>
      <c r="B171" s="17" t="s">
        <v>189</v>
      </c>
      <c r="C171" s="17" t="s">
        <v>334</v>
      </c>
      <c r="D171" s="17" t="s">
        <v>3856</v>
      </c>
      <c r="E171" s="17" t="s">
        <v>1083</v>
      </c>
      <c r="F171" s="17" t="s">
        <v>3396</v>
      </c>
      <c r="G171" s="17" t="s">
        <v>3397</v>
      </c>
      <c r="H171" s="17" t="s">
        <v>3398</v>
      </c>
      <c r="I171" s="19" t="s">
        <v>95</v>
      </c>
      <c r="J171" s="24"/>
      <c r="K171" s="20" t="str">
        <f t="shared" si="6"/>
        <v/>
      </c>
      <c r="L171" s="20" t="str">
        <f>IF(C171="","",IF(COUNTIF('01_rules'!$A$2:$A$39,C171)=0,"rule 없음",""))</f>
        <v/>
      </c>
      <c r="M171" s="20" t="str">
        <f t="shared" si="7"/>
        <v/>
      </c>
      <c r="N171" s="20" t="str">
        <f t="shared" si="8"/>
        <v/>
      </c>
    </row>
    <row r="172" spans="1:14" ht="15" customHeight="1">
      <c r="A172" s="17" t="s">
        <v>3857</v>
      </c>
      <c r="B172" s="17" t="s">
        <v>189</v>
      </c>
      <c r="C172" s="17" t="s">
        <v>297</v>
      </c>
      <c r="D172" s="17" t="s">
        <v>3858</v>
      </c>
      <c r="E172" s="17" t="s">
        <v>1086</v>
      </c>
      <c r="F172" s="17" t="s">
        <v>2441</v>
      </c>
      <c r="G172" s="17" t="s">
        <v>3859</v>
      </c>
      <c r="H172" s="17" t="s">
        <v>3860</v>
      </c>
      <c r="I172" s="19" t="s">
        <v>95</v>
      </c>
      <c r="J172" s="24"/>
      <c r="K172" s="20" t="str">
        <f t="shared" si="6"/>
        <v/>
      </c>
      <c r="L172" s="20" t="str">
        <f>IF(C172="","",IF(COUNTIF('01_rules'!$A$2:$A$39,C172)=0,"rule 없음",""))</f>
        <v/>
      </c>
      <c r="M172" s="20" t="str">
        <f t="shared" si="7"/>
        <v/>
      </c>
      <c r="N172" s="20" t="str">
        <f t="shared" si="8"/>
        <v/>
      </c>
    </row>
    <row r="173" spans="1:14" ht="23.25" customHeight="1">
      <c r="A173" s="17" t="s">
        <v>3861</v>
      </c>
      <c r="B173" s="17" t="s">
        <v>189</v>
      </c>
      <c r="C173" s="17" t="s">
        <v>297</v>
      </c>
      <c r="D173" s="17" t="s">
        <v>3862</v>
      </c>
      <c r="E173" s="17" t="s">
        <v>1089</v>
      </c>
      <c r="F173" s="17" t="s">
        <v>2445</v>
      </c>
      <c r="G173" s="17" t="s">
        <v>3863</v>
      </c>
      <c r="H173" s="17" t="s">
        <v>3864</v>
      </c>
      <c r="I173" s="19" t="s">
        <v>95</v>
      </c>
      <c r="J173" s="24"/>
      <c r="K173" s="20" t="str">
        <f t="shared" si="6"/>
        <v/>
      </c>
      <c r="L173" s="20" t="str">
        <f>IF(C173="","",IF(COUNTIF('01_rules'!$A$2:$A$39,C173)=0,"rule 없음",""))</f>
        <v/>
      </c>
      <c r="M173" s="20" t="str">
        <f t="shared" si="7"/>
        <v/>
      </c>
      <c r="N173" s="20" t="str">
        <f t="shared" si="8"/>
        <v/>
      </c>
    </row>
    <row r="174" spans="1:14" ht="15" customHeight="1">
      <c r="A174" s="17" t="s">
        <v>3865</v>
      </c>
      <c r="B174" s="17" t="s">
        <v>189</v>
      </c>
      <c r="C174" s="17" t="s">
        <v>297</v>
      </c>
      <c r="D174" s="17" t="s">
        <v>3866</v>
      </c>
      <c r="E174" s="17" t="s">
        <v>1092</v>
      </c>
      <c r="F174" s="17" t="s">
        <v>2449</v>
      </c>
      <c r="G174" s="17" t="s">
        <v>3867</v>
      </c>
      <c r="H174" s="17" t="s">
        <v>3868</v>
      </c>
      <c r="I174" s="19" t="s">
        <v>95</v>
      </c>
      <c r="J174" s="24"/>
      <c r="K174" s="20" t="str">
        <f t="shared" si="6"/>
        <v/>
      </c>
      <c r="L174" s="20" t="str">
        <f>IF(C174="","",IF(COUNTIF('01_rules'!$A$2:$A$39,C174)=0,"rule 없음",""))</f>
        <v/>
      </c>
      <c r="M174" s="20" t="str">
        <f t="shared" si="7"/>
        <v/>
      </c>
      <c r="N174" s="20" t="str">
        <f t="shared" si="8"/>
        <v/>
      </c>
    </row>
    <row r="175" spans="1:14" ht="15" customHeight="1">
      <c r="A175" s="17" t="s">
        <v>3869</v>
      </c>
      <c r="B175" s="17" t="s">
        <v>189</v>
      </c>
      <c r="C175" s="17" t="s">
        <v>297</v>
      </c>
      <c r="D175" s="17" t="s">
        <v>3870</v>
      </c>
      <c r="E175" s="17" t="s">
        <v>1095</v>
      </c>
      <c r="F175" s="17" t="s">
        <v>2453</v>
      </c>
      <c r="G175" s="17" t="s">
        <v>3871</v>
      </c>
      <c r="H175" s="17" t="s">
        <v>3872</v>
      </c>
      <c r="I175" s="19" t="s">
        <v>95</v>
      </c>
      <c r="J175" s="24"/>
      <c r="K175" s="20" t="str">
        <f t="shared" si="6"/>
        <v/>
      </c>
      <c r="L175" s="20" t="str">
        <f>IF(C175="","",IF(COUNTIF('01_rules'!$A$2:$A$39,C175)=0,"rule 없음",""))</f>
        <v/>
      </c>
      <c r="M175" s="20" t="str">
        <f t="shared" si="7"/>
        <v/>
      </c>
      <c r="N175" s="20" t="str">
        <f t="shared" si="8"/>
        <v/>
      </c>
    </row>
    <row r="176" spans="1:14" ht="15" customHeight="1">
      <c r="A176" s="17" t="s">
        <v>3873</v>
      </c>
      <c r="B176" s="17" t="s">
        <v>189</v>
      </c>
      <c r="C176" s="17" t="s">
        <v>87</v>
      </c>
      <c r="D176" s="17" t="s">
        <v>3874</v>
      </c>
      <c r="E176" s="17" t="s">
        <v>1098</v>
      </c>
      <c r="F176" s="17" t="s">
        <v>3875</v>
      </c>
      <c r="G176" s="17" t="s">
        <v>3876</v>
      </c>
      <c r="H176" s="17" t="s">
        <v>3343</v>
      </c>
      <c r="I176" s="19" t="s">
        <v>95</v>
      </c>
      <c r="J176" s="24"/>
      <c r="K176" s="20" t="str">
        <f t="shared" si="6"/>
        <v/>
      </c>
      <c r="L176" s="20" t="str">
        <f>IF(C176="","",IF(COUNTIF('01_rules'!$A$2:$A$39,C176)=0,"rule 없음",""))</f>
        <v/>
      </c>
      <c r="M176" s="20" t="str">
        <f t="shared" si="7"/>
        <v/>
      </c>
      <c r="N176" s="20" t="str">
        <f t="shared" si="8"/>
        <v/>
      </c>
    </row>
    <row r="177" spans="1:14" ht="15" customHeight="1">
      <c r="A177" s="17" t="s">
        <v>3877</v>
      </c>
      <c r="B177" s="17" t="s">
        <v>189</v>
      </c>
      <c r="C177" s="17" t="s">
        <v>310</v>
      </c>
      <c r="D177" s="17" t="s">
        <v>3878</v>
      </c>
      <c r="E177" s="17" t="s">
        <v>1101</v>
      </c>
      <c r="F177" s="17" t="s">
        <v>3397</v>
      </c>
      <c r="G177" s="17" t="s">
        <v>3396</v>
      </c>
      <c r="H177" s="17" t="s">
        <v>3398</v>
      </c>
      <c r="I177" s="19" t="s">
        <v>95</v>
      </c>
      <c r="J177" s="24"/>
      <c r="K177" s="20" t="str">
        <f t="shared" si="6"/>
        <v/>
      </c>
      <c r="L177" s="20" t="str">
        <f>IF(C177="","",IF(COUNTIF('01_rules'!$A$2:$A$39,C177)=0,"rule 없음",""))</f>
        <v/>
      </c>
      <c r="M177" s="20" t="str">
        <f t="shared" si="7"/>
        <v/>
      </c>
      <c r="N177" s="20" t="str">
        <f t="shared" si="8"/>
        <v/>
      </c>
    </row>
    <row r="178" spans="1:14" ht="15" customHeight="1">
      <c r="A178" s="17" t="s">
        <v>3879</v>
      </c>
      <c r="B178" s="17" t="s">
        <v>189</v>
      </c>
      <c r="C178" s="17" t="s">
        <v>334</v>
      </c>
      <c r="D178" s="17" t="s">
        <v>3880</v>
      </c>
      <c r="E178" s="17" t="s">
        <v>1104</v>
      </c>
      <c r="F178" s="17" t="s">
        <v>3396</v>
      </c>
      <c r="G178" s="17" t="s">
        <v>3397</v>
      </c>
      <c r="H178" s="17" t="s">
        <v>3398</v>
      </c>
      <c r="I178" s="19" t="s">
        <v>95</v>
      </c>
      <c r="J178" s="24"/>
      <c r="K178" s="20" t="str">
        <f t="shared" si="6"/>
        <v/>
      </c>
      <c r="L178" s="20" t="str">
        <f>IF(C178="","",IF(COUNTIF('01_rules'!$A$2:$A$39,C178)=0,"rule 없음",""))</f>
        <v/>
      </c>
      <c r="M178" s="20" t="str">
        <f t="shared" si="7"/>
        <v/>
      </c>
      <c r="N178" s="20" t="str">
        <f t="shared" si="8"/>
        <v/>
      </c>
    </row>
    <row r="179" spans="1:14" ht="15" customHeight="1">
      <c r="A179" s="17" t="s">
        <v>3881</v>
      </c>
      <c r="B179" s="17" t="s">
        <v>189</v>
      </c>
      <c r="C179" s="17" t="s">
        <v>87</v>
      </c>
      <c r="D179" s="17" t="s">
        <v>3882</v>
      </c>
      <c r="E179" s="17" t="s">
        <v>1107</v>
      </c>
      <c r="F179" s="17" t="s">
        <v>3883</v>
      </c>
      <c r="G179" s="17" t="s">
        <v>3884</v>
      </c>
      <c r="H179" s="17" t="s">
        <v>3343</v>
      </c>
      <c r="I179" s="19" t="s">
        <v>95</v>
      </c>
      <c r="J179" s="24"/>
      <c r="K179" s="20" t="str">
        <f t="shared" si="6"/>
        <v/>
      </c>
      <c r="L179" s="20" t="str">
        <f>IF(C179="","",IF(COUNTIF('01_rules'!$A$2:$A$39,C179)=0,"rule 없음",""))</f>
        <v/>
      </c>
      <c r="M179" s="20" t="str">
        <f t="shared" si="7"/>
        <v/>
      </c>
      <c r="N179" s="20" t="str">
        <f t="shared" si="8"/>
        <v/>
      </c>
    </row>
    <row r="180" spans="1:14" ht="15" customHeight="1">
      <c r="A180" s="17" t="s">
        <v>3885</v>
      </c>
      <c r="B180" s="17" t="s">
        <v>189</v>
      </c>
      <c r="C180" s="17" t="s">
        <v>87</v>
      </c>
      <c r="D180" s="17" t="s">
        <v>3886</v>
      </c>
      <c r="E180" s="17" t="s">
        <v>1110</v>
      </c>
      <c r="F180" s="17" t="s">
        <v>3887</v>
      </c>
      <c r="G180" s="17" t="s">
        <v>3888</v>
      </c>
      <c r="H180" s="17" t="s">
        <v>3343</v>
      </c>
      <c r="I180" s="19" t="s">
        <v>95</v>
      </c>
      <c r="J180" s="24"/>
      <c r="K180" s="20" t="str">
        <f t="shared" si="6"/>
        <v/>
      </c>
      <c r="L180" s="20" t="str">
        <f>IF(C180="","",IF(COUNTIF('01_rules'!$A$2:$A$39,C180)=0,"rule 없음",""))</f>
        <v/>
      </c>
      <c r="M180" s="20" t="str">
        <f t="shared" si="7"/>
        <v/>
      </c>
      <c r="N180" s="20" t="str">
        <f t="shared" si="8"/>
        <v/>
      </c>
    </row>
    <row r="181" spans="1:14" ht="23.25" customHeight="1">
      <c r="A181" s="17" t="s">
        <v>3889</v>
      </c>
      <c r="B181" s="17" t="s">
        <v>189</v>
      </c>
      <c r="C181" s="17" t="s">
        <v>334</v>
      </c>
      <c r="D181" s="17" t="s">
        <v>3890</v>
      </c>
      <c r="E181" s="17" t="s">
        <v>1113</v>
      </c>
      <c r="F181" s="17" t="s">
        <v>3396</v>
      </c>
      <c r="G181" s="17" t="s">
        <v>3397</v>
      </c>
      <c r="H181" s="17" t="s">
        <v>3398</v>
      </c>
      <c r="I181" s="19" t="s">
        <v>95</v>
      </c>
      <c r="J181" s="24"/>
      <c r="K181" s="20" t="str">
        <f t="shared" si="6"/>
        <v/>
      </c>
      <c r="L181" s="20" t="str">
        <f>IF(C181="","",IF(COUNTIF('01_rules'!$A$2:$A$39,C181)=0,"rule 없음",""))</f>
        <v/>
      </c>
      <c r="M181" s="20" t="str">
        <f t="shared" si="7"/>
        <v/>
      </c>
      <c r="N181" s="20" t="str">
        <f t="shared" si="8"/>
        <v/>
      </c>
    </row>
    <row r="182" spans="1:14" ht="15" customHeight="1">
      <c r="A182" s="17" t="s">
        <v>3891</v>
      </c>
      <c r="B182" s="17" t="s">
        <v>196</v>
      </c>
      <c r="C182" s="17" t="s">
        <v>194</v>
      </c>
      <c r="D182" s="17" t="s">
        <v>3892</v>
      </c>
      <c r="E182" s="17" t="s">
        <v>1116</v>
      </c>
      <c r="F182" s="17" t="s">
        <v>3893</v>
      </c>
      <c r="G182" s="17" t="s">
        <v>3894</v>
      </c>
      <c r="H182" s="17" t="s">
        <v>3895</v>
      </c>
      <c r="I182" s="19" t="s">
        <v>95</v>
      </c>
      <c r="J182" s="24"/>
      <c r="K182" s="20" t="str">
        <f t="shared" si="6"/>
        <v/>
      </c>
      <c r="L182" s="20" t="str">
        <f>IF(C182="","",IF(COUNTIF('01_rules'!$A$2:$A$39,C182)=0,"rule 없음",""))</f>
        <v/>
      </c>
      <c r="M182" s="20" t="str">
        <f t="shared" si="7"/>
        <v/>
      </c>
      <c r="N182" s="20" t="str">
        <f t="shared" si="8"/>
        <v/>
      </c>
    </row>
    <row r="183" spans="1:14" ht="23.25" customHeight="1">
      <c r="A183" s="17" t="s">
        <v>3896</v>
      </c>
      <c r="B183" s="17" t="s">
        <v>196</v>
      </c>
      <c r="C183" s="17" t="s">
        <v>323</v>
      </c>
      <c r="D183" s="17" t="s">
        <v>3897</v>
      </c>
      <c r="E183" s="17" t="s">
        <v>1119</v>
      </c>
      <c r="F183" s="17" t="s">
        <v>3624</v>
      </c>
      <c r="G183" s="17" t="s">
        <v>3623</v>
      </c>
      <c r="H183" s="17" t="s">
        <v>3898</v>
      </c>
      <c r="I183" s="19" t="s">
        <v>95</v>
      </c>
      <c r="J183" s="24"/>
      <c r="K183" s="20" t="str">
        <f t="shared" si="6"/>
        <v/>
      </c>
      <c r="L183" s="20" t="str">
        <f>IF(C183="","",IF(COUNTIF('01_rules'!$A$2:$A$39,C183)=0,"rule 없음",""))</f>
        <v/>
      </c>
      <c r="M183" s="20" t="str">
        <f t="shared" si="7"/>
        <v/>
      </c>
      <c r="N183" s="20" t="str">
        <f t="shared" si="8"/>
        <v/>
      </c>
    </row>
    <row r="184" spans="1:14" ht="23.25" customHeight="1">
      <c r="A184" s="17" t="s">
        <v>3899</v>
      </c>
      <c r="B184" s="17" t="s">
        <v>196</v>
      </c>
      <c r="C184" s="17" t="s">
        <v>323</v>
      </c>
      <c r="D184" s="17" t="s">
        <v>3900</v>
      </c>
      <c r="E184" s="17" t="s">
        <v>1122</v>
      </c>
      <c r="F184" s="17" t="s">
        <v>3624</v>
      </c>
      <c r="G184" s="17" t="s">
        <v>3623</v>
      </c>
      <c r="H184" s="17" t="s">
        <v>3898</v>
      </c>
      <c r="I184" s="19" t="s">
        <v>95</v>
      </c>
      <c r="J184" s="24"/>
      <c r="K184" s="20" t="str">
        <f t="shared" si="6"/>
        <v/>
      </c>
      <c r="L184" s="20" t="str">
        <f>IF(C184="","",IF(COUNTIF('01_rules'!$A$2:$A$39,C184)=0,"rule 없음",""))</f>
        <v/>
      </c>
      <c r="M184" s="20" t="str">
        <f t="shared" si="7"/>
        <v/>
      </c>
      <c r="N184" s="20" t="str">
        <f t="shared" si="8"/>
        <v/>
      </c>
    </row>
    <row r="185" spans="1:14" ht="15" customHeight="1">
      <c r="A185" s="17" t="s">
        <v>3901</v>
      </c>
      <c r="B185" s="17" t="s">
        <v>196</v>
      </c>
      <c r="C185" s="17" t="s">
        <v>334</v>
      </c>
      <c r="D185" s="17" t="s">
        <v>3902</v>
      </c>
      <c r="E185" s="17" t="s">
        <v>1125</v>
      </c>
      <c r="F185" s="17" t="s">
        <v>3396</v>
      </c>
      <c r="G185" s="17" t="s">
        <v>3397</v>
      </c>
      <c r="H185" s="17" t="s">
        <v>3398</v>
      </c>
      <c r="I185" s="19" t="s">
        <v>95</v>
      </c>
      <c r="J185" s="24"/>
      <c r="K185" s="20" t="str">
        <f t="shared" si="6"/>
        <v/>
      </c>
      <c r="L185" s="20" t="str">
        <f>IF(C185="","",IF(COUNTIF('01_rules'!$A$2:$A$39,C185)=0,"rule 없음",""))</f>
        <v/>
      </c>
      <c r="M185" s="20" t="str">
        <f t="shared" si="7"/>
        <v/>
      </c>
      <c r="N185" s="20" t="str">
        <f t="shared" si="8"/>
        <v/>
      </c>
    </row>
    <row r="186" spans="1:14" ht="15" customHeight="1">
      <c r="A186" s="17" t="s">
        <v>3903</v>
      </c>
      <c r="B186" s="17" t="s">
        <v>196</v>
      </c>
      <c r="C186" s="17" t="s">
        <v>323</v>
      </c>
      <c r="D186" s="17" t="s">
        <v>3904</v>
      </c>
      <c r="E186" s="17" t="s">
        <v>1128</v>
      </c>
      <c r="F186" s="17" t="s">
        <v>3624</v>
      </c>
      <c r="G186" s="17" t="s">
        <v>3623</v>
      </c>
      <c r="H186" s="17" t="s">
        <v>3898</v>
      </c>
      <c r="I186" s="19" t="s">
        <v>95</v>
      </c>
      <c r="J186" s="24"/>
      <c r="K186" s="20" t="str">
        <f t="shared" si="6"/>
        <v/>
      </c>
      <c r="L186" s="20" t="str">
        <f>IF(C186="","",IF(COUNTIF('01_rules'!$A$2:$A$39,C186)=0,"rule 없음",""))</f>
        <v/>
      </c>
      <c r="M186" s="20" t="str">
        <f t="shared" si="7"/>
        <v/>
      </c>
      <c r="N186" s="20" t="str">
        <f t="shared" si="8"/>
        <v/>
      </c>
    </row>
    <row r="187" spans="1:14" ht="15" customHeight="1">
      <c r="A187" s="17" t="s">
        <v>3905</v>
      </c>
      <c r="B187" s="17" t="s">
        <v>196</v>
      </c>
      <c r="C187" s="17" t="s">
        <v>194</v>
      </c>
      <c r="D187" s="17" t="s">
        <v>3906</v>
      </c>
      <c r="E187" s="17" t="s">
        <v>1131</v>
      </c>
      <c r="F187" s="17" t="s">
        <v>3893</v>
      </c>
      <c r="G187" s="17" t="s">
        <v>3894</v>
      </c>
      <c r="H187" s="17" t="s">
        <v>3895</v>
      </c>
      <c r="I187" s="19" t="s">
        <v>95</v>
      </c>
      <c r="J187" s="24"/>
      <c r="K187" s="20" t="str">
        <f t="shared" si="6"/>
        <v/>
      </c>
      <c r="L187" s="20" t="str">
        <f>IF(C187="","",IF(COUNTIF('01_rules'!$A$2:$A$39,C187)=0,"rule 없음",""))</f>
        <v/>
      </c>
      <c r="M187" s="20" t="str">
        <f t="shared" si="7"/>
        <v/>
      </c>
      <c r="N187" s="20" t="str">
        <f t="shared" si="8"/>
        <v/>
      </c>
    </row>
    <row r="188" spans="1:14" ht="23.25" customHeight="1">
      <c r="A188" s="17" t="s">
        <v>3907</v>
      </c>
      <c r="B188" s="17" t="s">
        <v>196</v>
      </c>
      <c r="C188" s="17" t="s">
        <v>194</v>
      </c>
      <c r="D188" s="17" t="s">
        <v>3908</v>
      </c>
      <c r="E188" s="17" t="s">
        <v>1134</v>
      </c>
      <c r="F188" s="17" t="s">
        <v>3893</v>
      </c>
      <c r="G188" s="17" t="s">
        <v>3894</v>
      </c>
      <c r="H188" s="17" t="s">
        <v>3895</v>
      </c>
      <c r="I188" s="19" t="s">
        <v>95</v>
      </c>
      <c r="J188" s="24"/>
      <c r="K188" s="20" t="str">
        <f t="shared" si="6"/>
        <v/>
      </c>
      <c r="L188" s="20" t="str">
        <f>IF(C188="","",IF(COUNTIF('01_rules'!$A$2:$A$39,C188)=0,"rule 없음",""))</f>
        <v/>
      </c>
      <c r="M188" s="20" t="str">
        <f t="shared" si="7"/>
        <v/>
      </c>
      <c r="N188" s="20" t="str">
        <f t="shared" si="8"/>
        <v/>
      </c>
    </row>
    <row r="189" spans="1:14" ht="15" customHeight="1">
      <c r="A189" s="17" t="s">
        <v>3909</v>
      </c>
      <c r="B189" s="17" t="s">
        <v>196</v>
      </c>
      <c r="C189" s="17" t="s">
        <v>194</v>
      </c>
      <c r="D189" s="17" t="s">
        <v>3910</v>
      </c>
      <c r="E189" s="17" t="s">
        <v>1137</v>
      </c>
      <c r="F189" s="17" t="s">
        <v>3893</v>
      </c>
      <c r="G189" s="17" t="s">
        <v>3894</v>
      </c>
      <c r="H189" s="17" t="s">
        <v>3895</v>
      </c>
      <c r="I189" s="19" t="s">
        <v>95</v>
      </c>
      <c r="J189" s="24"/>
      <c r="K189" s="20" t="str">
        <f t="shared" si="6"/>
        <v/>
      </c>
      <c r="L189" s="20" t="str">
        <f>IF(C189="","",IF(COUNTIF('01_rules'!$A$2:$A$39,C189)=0,"rule 없음",""))</f>
        <v/>
      </c>
      <c r="M189" s="20" t="str">
        <f t="shared" si="7"/>
        <v/>
      </c>
      <c r="N189" s="20" t="str">
        <f t="shared" si="8"/>
        <v/>
      </c>
    </row>
    <row r="190" spans="1:14" ht="15" customHeight="1">
      <c r="A190" s="17" t="s">
        <v>3911</v>
      </c>
      <c r="B190" s="17" t="s">
        <v>196</v>
      </c>
      <c r="C190" s="17" t="s">
        <v>194</v>
      </c>
      <c r="D190" s="17" t="s">
        <v>3912</v>
      </c>
      <c r="E190" s="17" t="s">
        <v>1140</v>
      </c>
      <c r="F190" s="17" t="s">
        <v>3893</v>
      </c>
      <c r="G190" s="17" t="s">
        <v>3894</v>
      </c>
      <c r="H190" s="17" t="s">
        <v>3895</v>
      </c>
      <c r="I190" s="19" t="s">
        <v>95</v>
      </c>
      <c r="J190" s="24"/>
      <c r="K190" s="20" t="str">
        <f t="shared" si="6"/>
        <v/>
      </c>
      <c r="L190" s="20" t="str">
        <f>IF(C190="","",IF(COUNTIF('01_rules'!$A$2:$A$39,C190)=0,"rule 없음",""))</f>
        <v/>
      </c>
      <c r="M190" s="20" t="str">
        <f t="shared" si="7"/>
        <v/>
      </c>
      <c r="N190" s="20" t="str">
        <f t="shared" si="8"/>
        <v/>
      </c>
    </row>
    <row r="191" spans="1:14" ht="15" customHeight="1">
      <c r="A191" s="17" t="s">
        <v>3913</v>
      </c>
      <c r="B191" s="17" t="s">
        <v>196</v>
      </c>
      <c r="C191" s="17" t="s">
        <v>334</v>
      </c>
      <c r="D191" s="17" t="s">
        <v>3914</v>
      </c>
      <c r="E191" s="17" t="s">
        <v>1143</v>
      </c>
      <c r="F191" s="17" t="s">
        <v>3396</v>
      </c>
      <c r="G191" s="17" t="s">
        <v>3397</v>
      </c>
      <c r="H191" s="17" t="s">
        <v>3398</v>
      </c>
      <c r="I191" s="19" t="s">
        <v>95</v>
      </c>
      <c r="J191" s="24"/>
      <c r="K191" s="20" t="str">
        <f t="shared" si="6"/>
        <v/>
      </c>
      <c r="L191" s="20" t="str">
        <f>IF(C191="","",IF(COUNTIF('01_rules'!$A$2:$A$39,C191)=0,"rule 없음",""))</f>
        <v/>
      </c>
      <c r="M191" s="20" t="str">
        <f t="shared" si="7"/>
        <v/>
      </c>
      <c r="N191" s="20" t="str">
        <f t="shared" si="8"/>
        <v/>
      </c>
    </row>
    <row r="192" spans="1:14" ht="15" customHeight="1">
      <c r="A192" s="17" t="s">
        <v>3915</v>
      </c>
      <c r="B192" s="17" t="s">
        <v>196</v>
      </c>
      <c r="C192" s="17" t="s">
        <v>334</v>
      </c>
      <c r="D192" s="17" t="s">
        <v>3916</v>
      </c>
      <c r="E192" s="17" t="s">
        <v>1146</v>
      </c>
      <c r="F192" s="17" t="s">
        <v>3396</v>
      </c>
      <c r="G192" s="17" t="s">
        <v>3397</v>
      </c>
      <c r="H192" s="17" t="s">
        <v>3398</v>
      </c>
      <c r="I192" s="19" t="s">
        <v>95</v>
      </c>
      <c r="J192" s="24"/>
      <c r="K192" s="20" t="str">
        <f t="shared" si="6"/>
        <v/>
      </c>
      <c r="L192" s="20" t="str">
        <f>IF(C192="","",IF(COUNTIF('01_rules'!$A$2:$A$39,C192)=0,"rule 없음",""))</f>
        <v/>
      </c>
      <c r="M192" s="20" t="str">
        <f t="shared" si="7"/>
        <v/>
      </c>
      <c r="N192" s="20" t="str">
        <f t="shared" si="8"/>
        <v/>
      </c>
    </row>
    <row r="193" spans="1:14" ht="15" customHeight="1">
      <c r="A193" s="17" t="s">
        <v>3917</v>
      </c>
      <c r="B193" s="17" t="s">
        <v>196</v>
      </c>
      <c r="C193" s="17" t="s">
        <v>334</v>
      </c>
      <c r="D193" s="17" t="s">
        <v>3918</v>
      </c>
      <c r="E193" s="17" t="s">
        <v>1149</v>
      </c>
      <c r="F193" s="17" t="s">
        <v>3396</v>
      </c>
      <c r="G193" s="17" t="s">
        <v>3397</v>
      </c>
      <c r="H193" s="17" t="s">
        <v>3398</v>
      </c>
      <c r="I193" s="19" t="s">
        <v>95</v>
      </c>
      <c r="J193" s="24"/>
      <c r="K193" s="20" t="str">
        <f t="shared" si="6"/>
        <v/>
      </c>
      <c r="L193" s="20" t="str">
        <f>IF(C193="","",IF(COUNTIF('01_rules'!$A$2:$A$39,C193)=0,"rule 없음",""))</f>
        <v/>
      </c>
      <c r="M193" s="20" t="str">
        <f t="shared" si="7"/>
        <v/>
      </c>
      <c r="N193" s="20" t="str">
        <f t="shared" si="8"/>
        <v/>
      </c>
    </row>
    <row r="194" spans="1:14" ht="15" customHeight="1">
      <c r="A194" s="17" t="s">
        <v>3919</v>
      </c>
      <c r="B194" s="17" t="s">
        <v>196</v>
      </c>
      <c r="C194" s="17" t="s">
        <v>334</v>
      </c>
      <c r="D194" s="17" t="s">
        <v>3920</v>
      </c>
      <c r="E194" s="17" t="s">
        <v>1152</v>
      </c>
      <c r="F194" s="17" t="s">
        <v>3396</v>
      </c>
      <c r="G194" s="17" t="s">
        <v>3397</v>
      </c>
      <c r="H194" s="17" t="s">
        <v>3398</v>
      </c>
      <c r="I194" s="19" t="s">
        <v>95</v>
      </c>
      <c r="J194" s="24"/>
      <c r="K194" s="20" t="str">
        <f t="shared" ref="K194:K257" si="9">IF(A194="","",IF(COUNTIF($A$2:$A$401,A194)&gt;1,"중복",""))</f>
        <v/>
      </c>
      <c r="L194" s="20" t="str">
        <f>IF(C194="","",IF(COUNTIF('01_rules'!$A$2:$A$39,C194)=0,"rule 없음",""))</f>
        <v/>
      </c>
      <c r="M194" s="20" t="str">
        <f t="shared" ref="M194:M257" si="10">IF(D194="","",IF(D194=E194,"error=correct",""))</f>
        <v/>
      </c>
      <c r="N194" s="20" t="str">
        <f t="shared" ref="N194:N257" si="11">IF(H194="","",IF(LEN(H194)-LEN(SUBSTITUTE(H194,";",""))&lt;&gt;2,"보기 3개 아님",""))</f>
        <v/>
      </c>
    </row>
    <row r="195" spans="1:14" ht="15" customHeight="1">
      <c r="A195" s="17" t="s">
        <v>3921</v>
      </c>
      <c r="B195" s="17" t="s">
        <v>196</v>
      </c>
      <c r="C195" s="17" t="s">
        <v>334</v>
      </c>
      <c r="D195" s="17" t="s">
        <v>3922</v>
      </c>
      <c r="E195" s="17" t="s">
        <v>1155</v>
      </c>
      <c r="F195" s="17" t="s">
        <v>3396</v>
      </c>
      <c r="G195" s="17" t="s">
        <v>3397</v>
      </c>
      <c r="H195" s="17" t="s">
        <v>3398</v>
      </c>
      <c r="I195" s="19" t="s">
        <v>95</v>
      </c>
      <c r="J195" s="24"/>
      <c r="K195" s="20" t="str">
        <f t="shared" si="9"/>
        <v/>
      </c>
      <c r="L195" s="20" t="str">
        <f>IF(C195="","",IF(COUNTIF('01_rules'!$A$2:$A$39,C195)=0,"rule 없음",""))</f>
        <v/>
      </c>
      <c r="M195" s="20" t="str">
        <f t="shared" si="10"/>
        <v/>
      </c>
      <c r="N195" s="20" t="str">
        <f t="shared" si="11"/>
        <v/>
      </c>
    </row>
    <row r="196" spans="1:14" ht="15" customHeight="1">
      <c r="A196" s="17" t="s">
        <v>3923</v>
      </c>
      <c r="B196" s="17" t="s">
        <v>196</v>
      </c>
      <c r="C196" s="17" t="s">
        <v>334</v>
      </c>
      <c r="D196" s="17" t="s">
        <v>3924</v>
      </c>
      <c r="E196" s="17" t="s">
        <v>1158</v>
      </c>
      <c r="F196" s="17" t="s">
        <v>3396</v>
      </c>
      <c r="G196" s="17" t="s">
        <v>3397</v>
      </c>
      <c r="H196" s="17" t="s">
        <v>3398</v>
      </c>
      <c r="I196" s="19" t="s">
        <v>95</v>
      </c>
      <c r="J196" s="24"/>
      <c r="K196" s="20" t="str">
        <f t="shared" si="9"/>
        <v/>
      </c>
      <c r="L196" s="20" t="str">
        <f>IF(C196="","",IF(COUNTIF('01_rules'!$A$2:$A$39,C196)=0,"rule 없음",""))</f>
        <v/>
      </c>
      <c r="M196" s="20" t="str">
        <f t="shared" si="10"/>
        <v/>
      </c>
      <c r="N196" s="20" t="str">
        <f t="shared" si="11"/>
        <v/>
      </c>
    </row>
    <row r="197" spans="1:14" ht="15" customHeight="1">
      <c r="A197" s="17" t="s">
        <v>3925</v>
      </c>
      <c r="B197" s="17" t="s">
        <v>196</v>
      </c>
      <c r="C197" s="17" t="s">
        <v>334</v>
      </c>
      <c r="D197" s="17" t="s">
        <v>3926</v>
      </c>
      <c r="E197" s="17" t="s">
        <v>1161</v>
      </c>
      <c r="F197" s="17" t="s">
        <v>3396</v>
      </c>
      <c r="G197" s="17" t="s">
        <v>3397</v>
      </c>
      <c r="H197" s="17" t="s">
        <v>3398</v>
      </c>
      <c r="I197" s="19" t="s">
        <v>95</v>
      </c>
      <c r="J197" s="24"/>
      <c r="K197" s="20" t="str">
        <f t="shared" si="9"/>
        <v/>
      </c>
      <c r="L197" s="20" t="str">
        <f>IF(C197="","",IF(COUNTIF('01_rules'!$A$2:$A$39,C197)=0,"rule 없음",""))</f>
        <v/>
      </c>
      <c r="M197" s="20" t="str">
        <f t="shared" si="10"/>
        <v/>
      </c>
      <c r="N197" s="20" t="str">
        <f t="shared" si="11"/>
        <v/>
      </c>
    </row>
    <row r="198" spans="1:14" ht="15" customHeight="1">
      <c r="A198" s="17" t="s">
        <v>3927</v>
      </c>
      <c r="B198" s="17" t="s">
        <v>196</v>
      </c>
      <c r="C198" s="17" t="s">
        <v>334</v>
      </c>
      <c r="D198" s="17" t="s">
        <v>3928</v>
      </c>
      <c r="E198" s="17" t="s">
        <v>1164</v>
      </c>
      <c r="F198" s="17" t="s">
        <v>3396</v>
      </c>
      <c r="G198" s="17" t="s">
        <v>3397</v>
      </c>
      <c r="H198" s="17" t="s">
        <v>3398</v>
      </c>
      <c r="I198" s="19" t="s">
        <v>95</v>
      </c>
      <c r="J198" s="24"/>
      <c r="K198" s="20" t="str">
        <f t="shared" si="9"/>
        <v/>
      </c>
      <c r="L198" s="20" t="str">
        <f>IF(C198="","",IF(COUNTIF('01_rules'!$A$2:$A$39,C198)=0,"rule 없음",""))</f>
        <v/>
      </c>
      <c r="M198" s="20" t="str">
        <f t="shared" si="10"/>
        <v/>
      </c>
      <c r="N198" s="20" t="str">
        <f t="shared" si="11"/>
        <v/>
      </c>
    </row>
    <row r="199" spans="1:14" ht="15" customHeight="1">
      <c r="A199" s="17" t="s">
        <v>3929</v>
      </c>
      <c r="B199" s="17" t="s">
        <v>196</v>
      </c>
      <c r="C199" s="17" t="s">
        <v>310</v>
      </c>
      <c r="D199" s="17" t="s">
        <v>3930</v>
      </c>
      <c r="E199" s="17" t="s">
        <v>1167</v>
      </c>
      <c r="F199" s="17" t="s">
        <v>3397</v>
      </c>
      <c r="G199" s="17" t="s">
        <v>3396</v>
      </c>
      <c r="H199" s="17" t="s">
        <v>3398</v>
      </c>
      <c r="I199" s="19" t="s">
        <v>95</v>
      </c>
      <c r="J199" s="24"/>
      <c r="K199" s="20" t="str">
        <f t="shared" si="9"/>
        <v/>
      </c>
      <c r="L199" s="20" t="str">
        <f>IF(C199="","",IF(COUNTIF('01_rules'!$A$2:$A$39,C199)=0,"rule 없음",""))</f>
        <v/>
      </c>
      <c r="M199" s="20" t="str">
        <f t="shared" si="10"/>
        <v/>
      </c>
      <c r="N199" s="20" t="str">
        <f t="shared" si="11"/>
        <v/>
      </c>
    </row>
    <row r="200" spans="1:14" ht="15" customHeight="1">
      <c r="A200" s="17" t="s">
        <v>3931</v>
      </c>
      <c r="B200" s="17" t="s">
        <v>196</v>
      </c>
      <c r="C200" s="17" t="s">
        <v>334</v>
      </c>
      <c r="D200" s="17" t="s">
        <v>3932</v>
      </c>
      <c r="E200" s="17" t="s">
        <v>1170</v>
      </c>
      <c r="F200" s="17" t="s">
        <v>3396</v>
      </c>
      <c r="G200" s="17" t="s">
        <v>3397</v>
      </c>
      <c r="H200" s="17" t="s">
        <v>3398</v>
      </c>
      <c r="I200" s="19" t="s">
        <v>95</v>
      </c>
      <c r="J200" s="24"/>
      <c r="K200" s="20" t="str">
        <f t="shared" si="9"/>
        <v/>
      </c>
      <c r="L200" s="20" t="str">
        <f>IF(C200="","",IF(COUNTIF('01_rules'!$A$2:$A$39,C200)=0,"rule 없음",""))</f>
        <v/>
      </c>
      <c r="M200" s="20" t="str">
        <f t="shared" si="10"/>
        <v/>
      </c>
      <c r="N200" s="20" t="str">
        <f t="shared" si="11"/>
        <v/>
      </c>
    </row>
    <row r="201" spans="1:14" ht="15" customHeight="1">
      <c r="A201" s="17" t="s">
        <v>3933</v>
      </c>
      <c r="B201" s="17" t="s">
        <v>196</v>
      </c>
      <c r="C201" s="17" t="s">
        <v>334</v>
      </c>
      <c r="D201" s="17" t="s">
        <v>3934</v>
      </c>
      <c r="E201" s="17" t="s">
        <v>1173</v>
      </c>
      <c r="F201" s="17" t="s">
        <v>3396</v>
      </c>
      <c r="G201" s="17" t="s">
        <v>3397</v>
      </c>
      <c r="H201" s="17" t="s">
        <v>3398</v>
      </c>
      <c r="I201" s="19" t="s">
        <v>95</v>
      </c>
      <c r="J201" s="24"/>
      <c r="K201" s="20" t="str">
        <f t="shared" si="9"/>
        <v/>
      </c>
      <c r="L201" s="20" t="str">
        <f>IF(C201="","",IF(COUNTIF('01_rules'!$A$2:$A$39,C201)=0,"rule 없음",""))</f>
        <v/>
      </c>
      <c r="M201" s="20" t="str">
        <f t="shared" si="10"/>
        <v/>
      </c>
      <c r="N201" s="20" t="str">
        <f t="shared" si="11"/>
        <v/>
      </c>
    </row>
    <row r="202" spans="1:14" ht="15" customHeight="1">
      <c r="A202" s="17" t="s">
        <v>3935</v>
      </c>
      <c r="B202" s="17" t="s">
        <v>203</v>
      </c>
      <c r="C202" s="17" t="s">
        <v>201</v>
      </c>
      <c r="D202" s="17" t="s">
        <v>3936</v>
      </c>
      <c r="E202" s="17" t="s">
        <v>1176</v>
      </c>
      <c r="F202" s="17" t="s">
        <v>3937</v>
      </c>
      <c r="G202" s="17" t="s">
        <v>3938</v>
      </c>
      <c r="H202" s="17" t="s">
        <v>3939</v>
      </c>
      <c r="I202" s="19" t="s">
        <v>95</v>
      </c>
      <c r="J202" s="24"/>
      <c r="K202" s="20" t="str">
        <f t="shared" si="9"/>
        <v/>
      </c>
      <c r="L202" s="20" t="str">
        <f>IF(C202="","",IF(COUNTIF('01_rules'!$A$2:$A$39,C202)=0,"rule 없음",""))</f>
        <v/>
      </c>
      <c r="M202" s="20" t="str">
        <f t="shared" si="10"/>
        <v/>
      </c>
      <c r="N202" s="20" t="str">
        <f t="shared" si="11"/>
        <v/>
      </c>
    </row>
    <row r="203" spans="1:14" ht="15" customHeight="1">
      <c r="A203" s="17" t="s">
        <v>3940</v>
      </c>
      <c r="B203" s="17" t="s">
        <v>203</v>
      </c>
      <c r="C203" s="17" t="s">
        <v>201</v>
      </c>
      <c r="D203" s="17" t="s">
        <v>3941</v>
      </c>
      <c r="E203" s="17" t="s">
        <v>1179</v>
      </c>
      <c r="F203" s="17" t="s">
        <v>3942</v>
      </c>
      <c r="G203" s="17" t="s">
        <v>3943</v>
      </c>
      <c r="H203" s="17" t="s">
        <v>3944</v>
      </c>
      <c r="I203" s="19" t="s">
        <v>95</v>
      </c>
      <c r="J203" s="24"/>
      <c r="K203" s="20" t="str">
        <f t="shared" si="9"/>
        <v/>
      </c>
      <c r="L203" s="20" t="str">
        <f>IF(C203="","",IF(COUNTIF('01_rules'!$A$2:$A$39,C203)=0,"rule 없음",""))</f>
        <v/>
      </c>
      <c r="M203" s="20" t="str">
        <f t="shared" si="10"/>
        <v/>
      </c>
      <c r="N203" s="20" t="str">
        <f t="shared" si="11"/>
        <v/>
      </c>
    </row>
    <row r="204" spans="1:14" ht="15" customHeight="1">
      <c r="A204" s="17" t="s">
        <v>3945</v>
      </c>
      <c r="B204" s="17" t="s">
        <v>203</v>
      </c>
      <c r="C204" s="17" t="s">
        <v>201</v>
      </c>
      <c r="D204" s="17" t="s">
        <v>3946</v>
      </c>
      <c r="E204" s="17" t="s">
        <v>1182</v>
      </c>
      <c r="F204" s="17" t="s">
        <v>3947</v>
      </c>
      <c r="G204" s="17" t="s">
        <v>3948</v>
      </c>
      <c r="H204" s="17" t="s">
        <v>3949</v>
      </c>
      <c r="I204" s="19" t="s">
        <v>95</v>
      </c>
      <c r="J204" s="24"/>
      <c r="K204" s="20" t="str">
        <f t="shared" si="9"/>
        <v/>
      </c>
      <c r="L204" s="20" t="str">
        <f>IF(C204="","",IF(COUNTIF('01_rules'!$A$2:$A$39,C204)=0,"rule 없음",""))</f>
        <v/>
      </c>
      <c r="M204" s="20" t="str">
        <f t="shared" si="10"/>
        <v/>
      </c>
      <c r="N204" s="20" t="str">
        <f t="shared" si="11"/>
        <v/>
      </c>
    </row>
    <row r="205" spans="1:14" ht="15" customHeight="1">
      <c r="A205" s="17" t="s">
        <v>3950</v>
      </c>
      <c r="B205" s="17" t="s">
        <v>203</v>
      </c>
      <c r="C205" s="17" t="s">
        <v>201</v>
      </c>
      <c r="D205" s="17" t="s">
        <v>3951</v>
      </c>
      <c r="E205" s="17" t="s">
        <v>1185</v>
      </c>
      <c r="F205" s="17" t="s">
        <v>3952</v>
      </c>
      <c r="G205" s="17" t="s">
        <v>3953</v>
      </c>
      <c r="H205" s="17" t="s">
        <v>3954</v>
      </c>
      <c r="I205" s="19" t="s">
        <v>95</v>
      </c>
      <c r="J205" s="24"/>
      <c r="K205" s="20" t="str">
        <f t="shared" si="9"/>
        <v/>
      </c>
      <c r="L205" s="20" t="str">
        <f>IF(C205="","",IF(COUNTIF('01_rules'!$A$2:$A$39,C205)=0,"rule 없음",""))</f>
        <v/>
      </c>
      <c r="M205" s="20" t="str">
        <f t="shared" si="10"/>
        <v/>
      </c>
      <c r="N205" s="20" t="str">
        <f t="shared" si="11"/>
        <v/>
      </c>
    </row>
    <row r="206" spans="1:14" ht="15" customHeight="1">
      <c r="A206" s="17" t="s">
        <v>3955</v>
      </c>
      <c r="B206" s="17" t="s">
        <v>203</v>
      </c>
      <c r="C206" s="17" t="s">
        <v>201</v>
      </c>
      <c r="D206" s="17" t="s">
        <v>3956</v>
      </c>
      <c r="E206" s="17" t="s">
        <v>1188</v>
      </c>
      <c r="F206" s="17" t="s">
        <v>3957</v>
      </c>
      <c r="G206" s="17" t="s">
        <v>3958</v>
      </c>
      <c r="H206" s="17" t="s">
        <v>3959</v>
      </c>
      <c r="I206" s="19" t="s">
        <v>95</v>
      </c>
      <c r="J206" s="24"/>
      <c r="K206" s="20" t="str">
        <f t="shared" si="9"/>
        <v/>
      </c>
      <c r="L206" s="20" t="str">
        <f>IF(C206="","",IF(COUNTIF('01_rules'!$A$2:$A$39,C206)=0,"rule 없음",""))</f>
        <v/>
      </c>
      <c r="M206" s="20" t="str">
        <f t="shared" si="10"/>
        <v/>
      </c>
      <c r="N206" s="20" t="str">
        <f t="shared" si="11"/>
        <v/>
      </c>
    </row>
    <row r="207" spans="1:14" ht="15" customHeight="1">
      <c r="A207" s="17" t="s">
        <v>3960</v>
      </c>
      <c r="B207" s="17" t="s">
        <v>203</v>
      </c>
      <c r="C207" s="17" t="s">
        <v>201</v>
      </c>
      <c r="D207" s="17" t="s">
        <v>3961</v>
      </c>
      <c r="E207" s="17" t="s">
        <v>1191</v>
      </c>
      <c r="F207" s="17" t="s">
        <v>3962</v>
      </c>
      <c r="G207" s="17" t="s">
        <v>3963</v>
      </c>
      <c r="H207" s="17" t="s">
        <v>3964</v>
      </c>
      <c r="I207" s="19" t="s">
        <v>95</v>
      </c>
      <c r="J207" s="24"/>
      <c r="K207" s="20" t="str">
        <f t="shared" si="9"/>
        <v/>
      </c>
      <c r="L207" s="20" t="str">
        <f>IF(C207="","",IF(COUNTIF('01_rules'!$A$2:$A$39,C207)=0,"rule 없음",""))</f>
        <v/>
      </c>
      <c r="M207" s="20" t="str">
        <f t="shared" si="10"/>
        <v/>
      </c>
      <c r="N207" s="20" t="str">
        <f t="shared" si="11"/>
        <v/>
      </c>
    </row>
    <row r="208" spans="1:14" ht="15" customHeight="1">
      <c r="A208" s="17" t="s">
        <v>3965</v>
      </c>
      <c r="B208" s="17" t="s">
        <v>203</v>
      </c>
      <c r="C208" s="17" t="s">
        <v>201</v>
      </c>
      <c r="D208" s="17" t="s">
        <v>3966</v>
      </c>
      <c r="E208" s="17" t="s">
        <v>1194</v>
      </c>
      <c r="F208" s="17" t="s">
        <v>3967</v>
      </c>
      <c r="G208" s="17" t="s">
        <v>3968</v>
      </c>
      <c r="H208" s="17" t="s">
        <v>3969</v>
      </c>
      <c r="I208" s="19" t="s">
        <v>95</v>
      </c>
      <c r="J208" s="24"/>
      <c r="K208" s="20" t="str">
        <f t="shared" si="9"/>
        <v/>
      </c>
      <c r="L208" s="20" t="str">
        <f>IF(C208="","",IF(COUNTIF('01_rules'!$A$2:$A$39,C208)=0,"rule 없음",""))</f>
        <v/>
      </c>
      <c r="M208" s="20" t="str">
        <f t="shared" si="10"/>
        <v/>
      </c>
      <c r="N208" s="20" t="str">
        <f t="shared" si="11"/>
        <v/>
      </c>
    </row>
    <row r="209" spans="1:14" ht="15" customHeight="1">
      <c r="A209" s="17" t="s">
        <v>3970</v>
      </c>
      <c r="B209" s="17" t="s">
        <v>203</v>
      </c>
      <c r="C209" s="17" t="s">
        <v>201</v>
      </c>
      <c r="D209" s="17" t="s">
        <v>3971</v>
      </c>
      <c r="E209" s="17" t="s">
        <v>1197</v>
      </c>
      <c r="F209" s="17" t="s">
        <v>3972</v>
      </c>
      <c r="G209" s="17" t="s">
        <v>3973</v>
      </c>
      <c r="H209" s="17" t="s">
        <v>3974</v>
      </c>
      <c r="I209" s="19" t="s">
        <v>95</v>
      </c>
      <c r="J209" s="24"/>
      <c r="K209" s="20" t="str">
        <f t="shared" si="9"/>
        <v/>
      </c>
      <c r="L209" s="20" t="str">
        <f>IF(C209="","",IF(COUNTIF('01_rules'!$A$2:$A$39,C209)=0,"rule 없음",""))</f>
        <v/>
      </c>
      <c r="M209" s="20" t="str">
        <f t="shared" si="10"/>
        <v/>
      </c>
      <c r="N209" s="20" t="str">
        <f t="shared" si="11"/>
        <v/>
      </c>
    </row>
    <row r="210" spans="1:14" ht="15" customHeight="1">
      <c r="A210" s="17" t="s">
        <v>3975</v>
      </c>
      <c r="B210" s="17" t="s">
        <v>203</v>
      </c>
      <c r="C210" s="17" t="s">
        <v>201</v>
      </c>
      <c r="D210" s="17" t="s">
        <v>3976</v>
      </c>
      <c r="E210" s="17" t="s">
        <v>1200</v>
      </c>
      <c r="F210" s="17" t="s">
        <v>3977</v>
      </c>
      <c r="G210" s="17" t="s">
        <v>3978</v>
      </c>
      <c r="H210" s="17" t="s">
        <v>3979</v>
      </c>
      <c r="I210" s="19" t="s">
        <v>95</v>
      </c>
      <c r="J210" s="24"/>
      <c r="K210" s="20" t="str">
        <f t="shared" si="9"/>
        <v/>
      </c>
      <c r="L210" s="20" t="str">
        <f>IF(C210="","",IF(COUNTIF('01_rules'!$A$2:$A$39,C210)=0,"rule 없음",""))</f>
        <v/>
      </c>
      <c r="M210" s="20" t="str">
        <f t="shared" si="10"/>
        <v/>
      </c>
      <c r="N210" s="20" t="str">
        <f t="shared" si="11"/>
        <v/>
      </c>
    </row>
    <row r="211" spans="1:14" ht="15" customHeight="1">
      <c r="A211" s="17" t="s">
        <v>3980</v>
      </c>
      <c r="B211" s="17" t="s">
        <v>203</v>
      </c>
      <c r="C211" s="17" t="s">
        <v>201</v>
      </c>
      <c r="D211" s="17" t="s">
        <v>3981</v>
      </c>
      <c r="E211" s="17" t="s">
        <v>1203</v>
      </c>
      <c r="F211" s="17" t="s">
        <v>3982</v>
      </c>
      <c r="G211" s="17" t="s">
        <v>3983</v>
      </c>
      <c r="H211" s="17" t="s">
        <v>3984</v>
      </c>
      <c r="I211" s="19" t="s">
        <v>95</v>
      </c>
      <c r="J211" s="24"/>
      <c r="K211" s="20" t="str">
        <f t="shared" si="9"/>
        <v/>
      </c>
      <c r="L211" s="20" t="str">
        <f>IF(C211="","",IF(COUNTIF('01_rules'!$A$2:$A$39,C211)=0,"rule 없음",""))</f>
        <v/>
      </c>
      <c r="M211" s="20" t="str">
        <f t="shared" si="10"/>
        <v/>
      </c>
      <c r="N211" s="20" t="str">
        <f t="shared" si="11"/>
        <v/>
      </c>
    </row>
    <row r="212" spans="1:14" ht="15" customHeight="1">
      <c r="A212" s="17" t="s">
        <v>3985</v>
      </c>
      <c r="B212" s="17" t="s">
        <v>203</v>
      </c>
      <c r="C212" s="17" t="s">
        <v>201</v>
      </c>
      <c r="D212" s="17" t="s">
        <v>3986</v>
      </c>
      <c r="E212" s="17" t="s">
        <v>1206</v>
      </c>
      <c r="F212" s="17" t="s">
        <v>3987</v>
      </c>
      <c r="G212" s="17" t="s">
        <v>3988</v>
      </c>
      <c r="H212" s="17" t="s">
        <v>3989</v>
      </c>
      <c r="I212" s="19" t="s">
        <v>95</v>
      </c>
      <c r="J212" s="24"/>
      <c r="K212" s="20" t="str">
        <f t="shared" si="9"/>
        <v/>
      </c>
      <c r="L212" s="20" t="str">
        <f>IF(C212="","",IF(COUNTIF('01_rules'!$A$2:$A$39,C212)=0,"rule 없음",""))</f>
        <v/>
      </c>
      <c r="M212" s="20" t="str">
        <f t="shared" si="10"/>
        <v/>
      </c>
      <c r="N212" s="20" t="str">
        <f t="shared" si="11"/>
        <v/>
      </c>
    </row>
    <row r="213" spans="1:14" ht="15" customHeight="1">
      <c r="A213" s="17" t="s">
        <v>3990</v>
      </c>
      <c r="B213" s="17" t="s">
        <v>203</v>
      </c>
      <c r="C213" s="17" t="s">
        <v>201</v>
      </c>
      <c r="D213" s="17" t="s">
        <v>3991</v>
      </c>
      <c r="E213" s="17" t="s">
        <v>1209</v>
      </c>
      <c r="F213" s="17" t="s">
        <v>3992</v>
      </c>
      <c r="G213" s="17" t="s">
        <v>3993</v>
      </c>
      <c r="H213" s="17" t="s">
        <v>3994</v>
      </c>
      <c r="I213" s="19" t="s">
        <v>95</v>
      </c>
      <c r="J213" s="24"/>
      <c r="K213" s="20" t="str">
        <f t="shared" si="9"/>
        <v/>
      </c>
      <c r="L213" s="20" t="str">
        <f>IF(C213="","",IF(COUNTIF('01_rules'!$A$2:$A$39,C213)=0,"rule 없음",""))</f>
        <v/>
      </c>
      <c r="M213" s="20" t="str">
        <f t="shared" si="10"/>
        <v/>
      </c>
      <c r="N213" s="20" t="str">
        <f t="shared" si="11"/>
        <v/>
      </c>
    </row>
    <row r="214" spans="1:14" ht="15" customHeight="1">
      <c r="A214" s="17" t="s">
        <v>3995</v>
      </c>
      <c r="B214" s="17" t="s">
        <v>203</v>
      </c>
      <c r="C214" s="17" t="s">
        <v>201</v>
      </c>
      <c r="D214" s="17" t="s">
        <v>3996</v>
      </c>
      <c r="E214" s="17" t="s">
        <v>1212</v>
      </c>
      <c r="F214" s="17" t="s">
        <v>3997</v>
      </c>
      <c r="G214" s="17" t="s">
        <v>3998</v>
      </c>
      <c r="H214" s="17" t="s">
        <v>3999</v>
      </c>
      <c r="I214" s="19" t="s">
        <v>95</v>
      </c>
      <c r="J214" s="24"/>
      <c r="K214" s="20" t="str">
        <f t="shared" si="9"/>
        <v/>
      </c>
      <c r="L214" s="20" t="str">
        <f>IF(C214="","",IF(COUNTIF('01_rules'!$A$2:$A$39,C214)=0,"rule 없음",""))</f>
        <v/>
      </c>
      <c r="M214" s="20" t="str">
        <f t="shared" si="10"/>
        <v/>
      </c>
      <c r="N214" s="20" t="str">
        <f t="shared" si="11"/>
        <v/>
      </c>
    </row>
    <row r="215" spans="1:14" ht="15" customHeight="1">
      <c r="A215" s="17" t="s">
        <v>4000</v>
      </c>
      <c r="B215" s="17" t="s">
        <v>203</v>
      </c>
      <c r="C215" s="17" t="s">
        <v>201</v>
      </c>
      <c r="D215" s="17" t="s">
        <v>4001</v>
      </c>
      <c r="E215" s="17" t="s">
        <v>1215</v>
      </c>
      <c r="F215" s="17" t="s">
        <v>4002</v>
      </c>
      <c r="G215" s="17" t="s">
        <v>4003</v>
      </c>
      <c r="H215" s="17" t="s">
        <v>4004</v>
      </c>
      <c r="I215" s="19" t="s">
        <v>95</v>
      </c>
      <c r="J215" s="24"/>
      <c r="K215" s="20" t="str">
        <f t="shared" si="9"/>
        <v/>
      </c>
      <c r="L215" s="20" t="str">
        <f>IF(C215="","",IF(COUNTIF('01_rules'!$A$2:$A$39,C215)=0,"rule 없음",""))</f>
        <v/>
      </c>
      <c r="M215" s="20" t="str">
        <f t="shared" si="10"/>
        <v/>
      </c>
      <c r="N215" s="20" t="str">
        <f t="shared" si="11"/>
        <v/>
      </c>
    </row>
    <row r="216" spans="1:14" ht="15" customHeight="1">
      <c r="A216" s="17" t="s">
        <v>4005</v>
      </c>
      <c r="B216" s="17" t="s">
        <v>203</v>
      </c>
      <c r="C216" s="17" t="s">
        <v>201</v>
      </c>
      <c r="D216" s="17" t="s">
        <v>4006</v>
      </c>
      <c r="E216" s="17" t="s">
        <v>1218</v>
      </c>
      <c r="F216" s="17" t="s">
        <v>4007</v>
      </c>
      <c r="G216" s="17" t="s">
        <v>4008</v>
      </c>
      <c r="H216" s="17" t="s">
        <v>4009</v>
      </c>
      <c r="I216" s="19" t="s">
        <v>95</v>
      </c>
      <c r="J216" s="24"/>
      <c r="K216" s="20" t="str">
        <f t="shared" si="9"/>
        <v/>
      </c>
      <c r="L216" s="20" t="str">
        <f>IF(C216="","",IF(COUNTIF('01_rules'!$A$2:$A$39,C216)=0,"rule 없음",""))</f>
        <v/>
      </c>
      <c r="M216" s="20" t="str">
        <f t="shared" si="10"/>
        <v/>
      </c>
      <c r="N216" s="20" t="str">
        <f t="shared" si="11"/>
        <v/>
      </c>
    </row>
    <row r="217" spans="1:14" ht="15" customHeight="1">
      <c r="A217" s="17" t="s">
        <v>4010</v>
      </c>
      <c r="B217" s="17" t="s">
        <v>203</v>
      </c>
      <c r="C217" s="17" t="s">
        <v>334</v>
      </c>
      <c r="D217" s="17" t="s">
        <v>4011</v>
      </c>
      <c r="E217" s="17" t="s">
        <v>1221</v>
      </c>
      <c r="F217" s="17" t="s">
        <v>3396</v>
      </c>
      <c r="G217" s="17" t="s">
        <v>3397</v>
      </c>
      <c r="H217" s="17" t="s">
        <v>3398</v>
      </c>
      <c r="I217" s="19" t="s">
        <v>95</v>
      </c>
      <c r="J217" s="24"/>
      <c r="K217" s="20" t="str">
        <f t="shared" si="9"/>
        <v/>
      </c>
      <c r="L217" s="20" t="str">
        <f>IF(C217="","",IF(COUNTIF('01_rules'!$A$2:$A$39,C217)=0,"rule 없음",""))</f>
        <v/>
      </c>
      <c r="M217" s="20" t="str">
        <f t="shared" si="10"/>
        <v/>
      </c>
      <c r="N217" s="20" t="str">
        <f t="shared" si="11"/>
        <v/>
      </c>
    </row>
    <row r="218" spans="1:14" ht="15" customHeight="1">
      <c r="A218" s="17" t="s">
        <v>4012</v>
      </c>
      <c r="B218" s="17" t="s">
        <v>203</v>
      </c>
      <c r="C218" s="17" t="s">
        <v>334</v>
      </c>
      <c r="D218" s="17" t="s">
        <v>4013</v>
      </c>
      <c r="E218" s="17" t="s">
        <v>1224</v>
      </c>
      <c r="F218" s="17" t="s">
        <v>3396</v>
      </c>
      <c r="G218" s="17" t="s">
        <v>3397</v>
      </c>
      <c r="H218" s="17" t="s">
        <v>3398</v>
      </c>
      <c r="I218" s="19" t="s">
        <v>95</v>
      </c>
      <c r="J218" s="24"/>
      <c r="K218" s="20" t="str">
        <f t="shared" si="9"/>
        <v/>
      </c>
      <c r="L218" s="20" t="str">
        <f>IF(C218="","",IF(COUNTIF('01_rules'!$A$2:$A$39,C218)=0,"rule 없음",""))</f>
        <v/>
      </c>
      <c r="M218" s="20" t="str">
        <f t="shared" si="10"/>
        <v/>
      </c>
      <c r="N218" s="20" t="str">
        <f t="shared" si="11"/>
        <v/>
      </c>
    </row>
    <row r="219" spans="1:14" ht="15" customHeight="1">
      <c r="A219" s="17" t="s">
        <v>4014</v>
      </c>
      <c r="B219" s="17" t="s">
        <v>203</v>
      </c>
      <c r="C219" s="17" t="s">
        <v>310</v>
      </c>
      <c r="D219" s="17" t="s">
        <v>4015</v>
      </c>
      <c r="E219" s="17" t="s">
        <v>1227</v>
      </c>
      <c r="F219" s="17" t="s">
        <v>3397</v>
      </c>
      <c r="G219" s="17" t="s">
        <v>3396</v>
      </c>
      <c r="H219" s="17" t="s">
        <v>3398</v>
      </c>
      <c r="I219" s="19" t="s">
        <v>95</v>
      </c>
      <c r="J219" s="24"/>
      <c r="K219" s="20" t="str">
        <f t="shared" si="9"/>
        <v/>
      </c>
      <c r="L219" s="20" t="str">
        <f>IF(C219="","",IF(COUNTIF('01_rules'!$A$2:$A$39,C219)=0,"rule 없음",""))</f>
        <v/>
      </c>
      <c r="M219" s="20" t="str">
        <f t="shared" si="10"/>
        <v/>
      </c>
      <c r="N219" s="20" t="str">
        <f t="shared" si="11"/>
        <v/>
      </c>
    </row>
    <row r="220" spans="1:14" ht="15" customHeight="1">
      <c r="A220" s="17" t="s">
        <v>4016</v>
      </c>
      <c r="B220" s="17" t="s">
        <v>203</v>
      </c>
      <c r="C220" s="17" t="s">
        <v>334</v>
      </c>
      <c r="D220" s="17" t="s">
        <v>4017</v>
      </c>
      <c r="E220" s="17" t="s">
        <v>1230</v>
      </c>
      <c r="F220" s="17" t="s">
        <v>3396</v>
      </c>
      <c r="G220" s="17" t="s">
        <v>3397</v>
      </c>
      <c r="H220" s="17" t="s">
        <v>3398</v>
      </c>
      <c r="I220" s="19" t="s">
        <v>95</v>
      </c>
      <c r="J220" s="24"/>
      <c r="K220" s="20" t="str">
        <f t="shared" si="9"/>
        <v/>
      </c>
      <c r="L220" s="20" t="str">
        <f>IF(C220="","",IF(COUNTIF('01_rules'!$A$2:$A$39,C220)=0,"rule 없음",""))</f>
        <v/>
      </c>
      <c r="M220" s="20" t="str">
        <f t="shared" si="10"/>
        <v/>
      </c>
      <c r="N220" s="20" t="str">
        <f t="shared" si="11"/>
        <v/>
      </c>
    </row>
    <row r="221" spans="1:14" ht="15" customHeight="1">
      <c r="A221" s="17" t="s">
        <v>4018</v>
      </c>
      <c r="B221" s="17" t="s">
        <v>203</v>
      </c>
      <c r="C221" s="17" t="s">
        <v>334</v>
      </c>
      <c r="D221" s="17" t="s">
        <v>4019</v>
      </c>
      <c r="E221" s="17" t="s">
        <v>1233</v>
      </c>
      <c r="F221" s="17" t="s">
        <v>3396</v>
      </c>
      <c r="G221" s="17" t="s">
        <v>3397</v>
      </c>
      <c r="H221" s="17" t="s">
        <v>3398</v>
      </c>
      <c r="I221" s="19" t="s">
        <v>95</v>
      </c>
      <c r="J221" s="24"/>
      <c r="K221" s="20" t="str">
        <f t="shared" si="9"/>
        <v/>
      </c>
      <c r="L221" s="20" t="str">
        <f>IF(C221="","",IF(COUNTIF('01_rules'!$A$2:$A$39,C221)=0,"rule 없음",""))</f>
        <v/>
      </c>
      <c r="M221" s="20" t="str">
        <f t="shared" si="10"/>
        <v/>
      </c>
      <c r="N221" s="20" t="str">
        <f t="shared" si="11"/>
        <v/>
      </c>
    </row>
    <row r="222" spans="1:14" ht="15" customHeight="1">
      <c r="A222" s="17" t="s">
        <v>4020</v>
      </c>
      <c r="B222" s="17" t="s">
        <v>210</v>
      </c>
      <c r="C222" s="17" t="s">
        <v>208</v>
      </c>
      <c r="D222" s="17" t="s">
        <v>4021</v>
      </c>
      <c r="E222" s="17" t="s">
        <v>1236</v>
      </c>
      <c r="F222" s="17" t="s">
        <v>2633</v>
      </c>
      <c r="G222" s="17" t="s">
        <v>4022</v>
      </c>
      <c r="H222" s="17" t="s">
        <v>4023</v>
      </c>
      <c r="I222" s="19" t="s">
        <v>95</v>
      </c>
      <c r="J222" s="24"/>
      <c r="K222" s="20" t="str">
        <f t="shared" si="9"/>
        <v/>
      </c>
      <c r="L222" s="20" t="str">
        <f>IF(C222="","",IF(COUNTIF('01_rules'!$A$2:$A$39,C222)=0,"rule 없음",""))</f>
        <v/>
      </c>
      <c r="M222" s="20" t="str">
        <f t="shared" si="10"/>
        <v/>
      </c>
      <c r="N222" s="20" t="str">
        <f t="shared" si="11"/>
        <v/>
      </c>
    </row>
    <row r="223" spans="1:14" ht="15" customHeight="1">
      <c r="A223" s="17" t="s">
        <v>4024</v>
      </c>
      <c r="B223" s="17" t="s">
        <v>210</v>
      </c>
      <c r="C223" s="17" t="s">
        <v>208</v>
      </c>
      <c r="D223" s="17" t="s">
        <v>4025</v>
      </c>
      <c r="E223" s="17" t="s">
        <v>1239</v>
      </c>
      <c r="F223" s="17" t="s">
        <v>2637</v>
      </c>
      <c r="G223" s="17" t="s">
        <v>4026</v>
      </c>
      <c r="H223" s="17" t="s">
        <v>4027</v>
      </c>
      <c r="I223" s="19" t="s">
        <v>95</v>
      </c>
      <c r="J223" s="24"/>
      <c r="K223" s="20" t="str">
        <f t="shared" si="9"/>
        <v/>
      </c>
      <c r="L223" s="20" t="str">
        <f>IF(C223="","",IF(COUNTIF('01_rules'!$A$2:$A$39,C223)=0,"rule 없음",""))</f>
        <v/>
      </c>
      <c r="M223" s="20" t="str">
        <f t="shared" si="10"/>
        <v/>
      </c>
      <c r="N223" s="20" t="str">
        <f t="shared" si="11"/>
        <v/>
      </c>
    </row>
    <row r="224" spans="1:14" ht="15" customHeight="1">
      <c r="A224" s="17" t="s">
        <v>4028</v>
      </c>
      <c r="B224" s="17" t="s">
        <v>210</v>
      </c>
      <c r="C224" s="17" t="s">
        <v>208</v>
      </c>
      <c r="D224" s="17" t="s">
        <v>214</v>
      </c>
      <c r="E224" s="17" t="s">
        <v>1242</v>
      </c>
      <c r="F224" s="17" t="s">
        <v>2640</v>
      </c>
      <c r="G224" s="17" t="s">
        <v>4029</v>
      </c>
      <c r="H224" s="17" t="s">
        <v>4030</v>
      </c>
      <c r="I224" s="19" t="s">
        <v>95</v>
      </c>
      <c r="J224" s="24"/>
      <c r="K224" s="20" t="str">
        <f t="shared" si="9"/>
        <v/>
      </c>
      <c r="L224" s="20" t="str">
        <f>IF(C224="","",IF(COUNTIF('01_rules'!$A$2:$A$39,C224)=0,"rule 없음",""))</f>
        <v/>
      </c>
      <c r="M224" s="20" t="str">
        <f t="shared" si="10"/>
        <v/>
      </c>
      <c r="N224" s="20" t="str">
        <f t="shared" si="11"/>
        <v/>
      </c>
    </row>
    <row r="225" spans="1:14" ht="15" customHeight="1">
      <c r="A225" s="17" t="s">
        <v>4031</v>
      </c>
      <c r="B225" s="17" t="s">
        <v>210</v>
      </c>
      <c r="C225" s="17" t="s">
        <v>334</v>
      </c>
      <c r="D225" s="17" t="s">
        <v>4032</v>
      </c>
      <c r="E225" s="17" t="s">
        <v>1245</v>
      </c>
      <c r="F225" s="17" t="s">
        <v>3396</v>
      </c>
      <c r="G225" s="17" t="s">
        <v>3397</v>
      </c>
      <c r="H225" s="17" t="s">
        <v>3398</v>
      </c>
      <c r="I225" s="19" t="s">
        <v>95</v>
      </c>
      <c r="J225" s="24"/>
      <c r="K225" s="20" t="str">
        <f t="shared" si="9"/>
        <v/>
      </c>
      <c r="L225" s="20" t="str">
        <f>IF(C225="","",IF(COUNTIF('01_rules'!$A$2:$A$39,C225)=0,"rule 없음",""))</f>
        <v/>
      </c>
      <c r="M225" s="20" t="str">
        <f t="shared" si="10"/>
        <v/>
      </c>
      <c r="N225" s="20" t="str">
        <f t="shared" si="11"/>
        <v/>
      </c>
    </row>
    <row r="226" spans="1:14" ht="15" customHeight="1">
      <c r="A226" s="17" t="s">
        <v>4033</v>
      </c>
      <c r="B226" s="17" t="s">
        <v>210</v>
      </c>
      <c r="C226" s="17" t="s">
        <v>208</v>
      </c>
      <c r="D226" s="17" t="s">
        <v>4034</v>
      </c>
      <c r="E226" s="17" t="s">
        <v>1248</v>
      </c>
      <c r="F226" s="17" t="s">
        <v>2727</v>
      </c>
      <c r="G226" s="17" t="s">
        <v>4035</v>
      </c>
      <c r="H226" s="17" t="s">
        <v>4036</v>
      </c>
      <c r="I226" s="19" t="s">
        <v>95</v>
      </c>
      <c r="J226" s="24"/>
      <c r="K226" s="20" t="str">
        <f t="shared" si="9"/>
        <v/>
      </c>
      <c r="L226" s="20" t="str">
        <f>IF(C226="","",IF(COUNTIF('01_rules'!$A$2:$A$39,C226)=0,"rule 없음",""))</f>
        <v/>
      </c>
      <c r="M226" s="20" t="str">
        <f t="shared" si="10"/>
        <v/>
      </c>
      <c r="N226" s="20" t="str">
        <f t="shared" si="11"/>
        <v/>
      </c>
    </row>
    <row r="227" spans="1:14" ht="15" customHeight="1">
      <c r="A227" s="17" t="s">
        <v>4037</v>
      </c>
      <c r="B227" s="17" t="s">
        <v>210</v>
      </c>
      <c r="C227" s="17" t="s">
        <v>208</v>
      </c>
      <c r="D227" s="17" t="s">
        <v>4038</v>
      </c>
      <c r="E227" s="17" t="s">
        <v>1251</v>
      </c>
      <c r="F227" s="17" t="s">
        <v>4035</v>
      </c>
      <c r="G227" s="17" t="s">
        <v>4039</v>
      </c>
      <c r="H227" s="17" t="s">
        <v>4040</v>
      </c>
      <c r="I227" s="19" t="s">
        <v>95</v>
      </c>
      <c r="J227" s="24"/>
      <c r="K227" s="20" t="str">
        <f t="shared" si="9"/>
        <v/>
      </c>
      <c r="L227" s="20" t="str">
        <f>IF(C227="","",IF(COUNTIF('01_rules'!$A$2:$A$39,C227)=0,"rule 없음",""))</f>
        <v/>
      </c>
      <c r="M227" s="20" t="str">
        <f t="shared" si="10"/>
        <v/>
      </c>
      <c r="N227" s="20" t="str">
        <f t="shared" si="11"/>
        <v/>
      </c>
    </row>
    <row r="228" spans="1:14" ht="15" customHeight="1">
      <c r="A228" s="17" t="s">
        <v>4041</v>
      </c>
      <c r="B228" s="17" t="s">
        <v>210</v>
      </c>
      <c r="C228" s="17" t="s">
        <v>208</v>
      </c>
      <c r="D228" s="17" t="s">
        <v>4038</v>
      </c>
      <c r="E228" s="17" t="s">
        <v>1254</v>
      </c>
      <c r="F228" s="17" t="s">
        <v>4035</v>
      </c>
      <c r="G228" s="17" t="s">
        <v>4042</v>
      </c>
      <c r="H228" s="17" t="s">
        <v>4040</v>
      </c>
      <c r="I228" s="19" t="s">
        <v>95</v>
      </c>
      <c r="J228" s="24"/>
      <c r="K228" s="20" t="str">
        <f t="shared" si="9"/>
        <v/>
      </c>
      <c r="L228" s="20" t="str">
        <f>IF(C228="","",IF(COUNTIF('01_rules'!$A$2:$A$39,C228)=0,"rule 없음",""))</f>
        <v/>
      </c>
      <c r="M228" s="20" t="str">
        <f t="shared" si="10"/>
        <v/>
      </c>
      <c r="N228" s="20" t="str">
        <f t="shared" si="11"/>
        <v/>
      </c>
    </row>
    <row r="229" spans="1:14" ht="15" customHeight="1">
      <c r="A229" s="17" t="s">
        <v>4043</v>
      </c>
      <c r="B229" s="17" t="s">
        <v>210</v>
      </c>
      <c r="C229" s="17" t="s">
        <v>208</v>
      </c>
      <c r="D229" s="17" t="s">
        <v>4038</v>
      </c>
      <c r="E229" s="17" t="s">
        <v>1257</v>
      </c>
      <c r="F229" s="17" t="s">
        <v>4035</v>
      </c>
      <c r="G229" s="17" t="s">
        <v>4044</v>
      </c>
      <c r="H229" s="17" t="s">
        <v>4040</v>
      </c>
      <c r="I229" s="19" t="s">
        <v>95</v>
      </c>
      <c r="J229" s="24"/>
      <c r="K229" s="20" t="str">
        <f t="shared" si="9"/>
        <v/>
      </c>
      <c r="L229" s="20" t="str">
        <f>IF(C229="","",IF(COUNTIF('01_rules'!$A$2:$A$39,C229)=0,"rule 없음",""))</f>
        <v/>
      </c>
      <c r="M229" s="20" t="str">
        <f t="shared" si="10"/>
        <v/>
      </c>
      <c r="N229" s="20" t="str">
        <f t="shared" si="11"/>
        <v/>
      </c>
    </row>
    <row r="230" spans="1:14" ht="15" customHeight="1">
      <c r="A230" s="17" t="s">
        <v>4045</v>
      </c>
      <c r="B230" s="17" t="s">
        <v>210</v>
      </c>
      <c r="C230" s="17" t="s">
        <v>334</v>
      </c>
      <c r="D230" s="17" t="s">
        <v>4046</v>
      </c>
      <c r="E230" s="17" t="s">
        <v>1260</v>
      </c>
      <c r="F230" s="17" t="s">
        <v>3396</v>
      </c>
      <c r="G230" s="17" t="s">
        <v>3397</v>
      </c>
      <c r="H230" s="17" t="s">
        <v>3398</v>
      </c>
      <c r="I230" s="19" t="s">
        <v>95</v>
      </c>
      <c r="J230" s="24"/>
      <c r="K230" s="20" t="str">
        <f t="shared" si="9"/>
        <v/>
      </c>
      <c r="L230" s="20" t="str">
        <f>IF(C230="","",IF(COUNTIF('01_rules'!$A$2:$A$39,C230)=0,"rule 없음",""))</f>
        <v/>
      </c>
      <c r="M230" s="20" t="str">
        <f t="shared" si="10"/>
        <v/>
      </c>
      <c r="N230" s="20" t="str">
        <f t="shared" si="11"/>
        <v/>
      </c>
    </row>
    <row r="231" spans="1:14" ht="15" customHeight="1">
      <c r="A231" s="17" t="s">
        <v>4047</v>
      </c>
      <c r="B231" s="17" t="s">
        <v>210</v>
      </c>
      <c r="C231" s="17" t="s">
        <v>334</v>
      </c>
      <c r="D231" s="17" t="s">
        <v>4048</v>
      </c>
      <c r="E231" s="17" t="s">
        <v>1263</v>
      </c>
      <c r="F231" s="17" t="s">
        <v>3396</v>
      </c>
      <c r="G231" s="17" t="s">
        <v>3397</v>
      </c>
      <c r="H231" s="17" t="s">
        <v>3398</v>
      </c>
      <c r="I231" s="19" t="s">
        <v>95</v>
      </c>
      <c r="J231" s="24"/>
      <c r="K231" s="20" t="str">
        <f t="shared" si="9"/>
        <v/>
      </c>
      <c r="L231" s="20" t="str">
        <f>IF(C231="","",IF(COUNTIF('01_rules'!$A$2:$A$39,C231)=0,"rule 없음",""))</f>
        <v/>
      </c>
      <c r="M231" s="20" t="str">
        <f t="shared" si="10"/>
        <v/>
      </c>
      <c r="N231" s="20" t="str">
        <f t="shared" si="11"/>
        <v/>
      </c>
    </row>
    <row r="232" spans="1:14" ht="15" customHeight="1">
      <c r="A232" s="17" t="s">
        <v>4049</v>
      </c>
      <c r="B232" s="17" t="s">
        <v>210</v>
      </c>
      <c r="C232" s="17" t="s">
        <v>310</v>
      </c>
      <c r="D232" s="17" t="s">
        <v>4050</v>
      </c>
      <c r="E232" s="17" t="s">
        <v>1266</v>
      </c>
      <c r="F232" s="17" t="s">
        <v>3397</v>
      </c>
      <c r="G232" s="17" t="s">
        <v>3396</v>
      </c>
      <c r="H232" s="17" t="s">
        <v>3398</v>
      </c>
      <c r="I232" s="19" t="s">
        <v>95</v>
      </c>
      <c r="J232" s="24"/>
      <c r="K232" s="20" t="str">
        <f t="shared" si="9"/>
        <v/>
      </c>
      <c r="L232" s="20" t="str">
        <f>IF(C232="","",IF(COUNTIF('01_rules'!$A$2:$A$39,C232)=0,"rule 없음",""))</f>
        <v/>
      </c>
      <c r="M232" s="20" t="str">
        <f t="shared" si="10"/>
        <v/>
      </c>
      <c r="N232" s="20" t="str">
        <f t="shared" si="11"/>
        <v/>
      </c>
    </row>
    <row r="233" spans="1:14" ht="15" customHeight="1">
      <c r="A233" s="17" t="s">
        <v>4051</v>
      </c>
      <c r="B233" s="17" t="s">
        <v>210</v>
      </c>
      <c r="C233" s="17" t="s">
        <v>334</v>
      </c>
      <c r="D233" s="17" t="s">
        <v>4052</v>
      </c>
      <c r="E233" s="17" t="s">
        <v>1269</v>
      </c>
      <c r="F233" s="17" t="s">
        <v>3396</v>
      </c>
      <c r="G233" s="17" t="s">
        <v>3397</v>
      </c>
      <c r="H233" s="17" t="s">
        <v>3398</v>
      </c>
      <c r="I233" s="19" t="s">
        <v>95</v>
      </c>
      <c r="J233" s="24"/>
      <c r="K233" s="20" t="str">
        <f t="shared" si="9"/>
        <v/>
      </c>
      <c r="L233" s="20" t="str">
        <f>IF(C233="","",IF(COUNTIF('01_rules'!$A$2:$A$39,C233)=0,"rule 없음",""))</f>
        <v/>
      </c>
      <c r="M233" s="20" t="str">
        <f t="shared" si="10"/>
        <v/>
      </c>
      <c r="N233" s="20" t="str">
        <f t="shared" si="11"/>
        <v/>
      </c>
    </row>
    <row r="234" spans="1:14" ht="15" customHeight="1">
      <c r="A234" s="17" t="s">
        <v>4053</v>
      </c>
      <c r="B234" s="17" t="s">
        <v>210</v>
      </c>
      <c r="C234" s="17" t="s">
        <v>297</v>
      </c>
      <c r="D234" s="17" t="s">
        <v>4054</v>
      </c>
      <c r="E234" s="17" t="s">
        <v>1272</v>
      </c>
      <c r="F234" s="17" t="s">
        <v>2680</v>
      </c>
      <c r="G234" s="17" t="s">
        <v>4055</v>
      </c>
      <c r="H234" s="17" t="s">
        <v>4056</v>
      </c>
      <c r="I234" s="19" t="s">
        <v>95</v>
      </c>
      <c r="J234" s="24"/>
      <c r="K234" s="20" t="str">
        <f t="shared" si="9"/>
        <v/>
      </c>
      <c r="L234" s="20" t="str">
        <f>IF(C234="","",IF(COUNTIF('01_rules'!$A$2:$A$39,C234)=0,"rule 없음",""))</f>
        <v/>
      </c>
      <c r="M234" s="20" t="str">
        <f t="shared" si="10"/>
        <v/>
      </c>
      <c r="N234" s="20" t="str">
        <f t="shared" si="11"/>
        <v/>
      </c>
    </row>
    <row r="235" spans="1:14" ht="23.25" customHeight="1">
      <c r="A235" s="17" t="s">
        <v>4057</v>
      </c>
      <c r="B235" s="17" t="s">
        <v>210</v>
      </c>
      <c r="C235" s="17" t="s">
        <v>334</v>
      </c>
      <c r="D235" s="17" t="s">
        <v>4058</v>
      </c>
      <c r="E235" s="17" t="s">
        <v>1275</v>
      </c>
      <c r="F235" s="17" t="s">
        <v>3396</v>
      </c>
      <c r="G235" s="17" t="s">
        <v>3397</v>
      </c>
      <c r="H235" s="17" t="s">
        <v>3398</v>
      </c>
      <c r="I235" s="19" t="s">
        <v>95</v>
      </c>
      <c r="J235" s="24"/>
      <c r="K235" s="20" t="str">
        <f t="shared" si="9"/>
        <v/>
      </c>
      <c r="L235" s="20" t="str">
        <f>IF(C235="","",IF(COUNTIF('01_rules'!$A$2:$A$39,C235)=0,"rule 없음",""))</f>
        <v/>
      </c>
      <c r="M235" s="20" t="str">
        <f t="shared" si="10"/>
        <v/>
      </c>
      <c r="N235" s="20" t="str">
        <f t="shared" si="11"/>
        <v/>
      </c>
    </row>
    <row r="236" spans="1:14" ht="23.25" customHeight="1">
      <c r="A236" s="17" t="s">
        <v>4059</v>
      </c>
      <c r="B236" s="17" t="s">
        <v>210</v>
      </c>
      <c r="C236" s="17" t="s">
        <v>334</v>
      </c>
      <c r="D236" s="17" t="s">
        <v>4060</v>
      </c>
      <c r="E236" s="17" t="s">
        <v>1278</v>
      </c>
      <c r="F236" s="17" t="s">
        <v>3396</v>
      </c>
      <c r="G236" s="17" t="s">
        <v>3397</v>
      </c>
      <c r="H236" s="17" t="s">
        <v>3398</v>
      </c>
      <c r="I236" s="19" t="s">
        <v>95</v>
      </c>
      <c r="J236" s="24"/>
      <c r="K236" s="20" t="str">
        <f t="shared" si="9"/>
        <v/>
      </c>
      <c r="L236" s="20" t="str">
        <f>IF(C236="","",IF(COUNTIF('01_rules'!$A$2:$A$39,C236)=0,"rule 없음",""))</f>
        <v/>
      </c>
      <c r="M236" s="20" t="str">
        <f t="shared" si="10"/>
        <v/>
      </c>
      <c r="N236" s="20" t="str">
        <f t="shared" si="11"/>
        <v/>
      </c>
    </row>
    <row r="237" spans="1:14" ht="23.25" customHeight="1">
      <c r="A237" s="17" t="s">
        <v>4061</v>
      </c>
      <c r="B237" s="17" t="s">
        <v>210</v>
      </c>
      <c r="C237" s="17" t="s">
        <v>334</v>
      </c>
      <c r="D237" s="17" t="s">
        <v>4062</v>
      </c>
      <c r="E237" s="17" t="s">
        <v>1281</v>
      </c>
      <c r="F237" s="17" t="s">
        <v>3396</v>
      </c>
      <c r="G237" s="17" t="s">
        <v>3397</v>
      </c>
      <c r="H237" s="17" t="s">
        <v>3398</v>
      </c>
      <c r="I237" s="19" t="s">
        <v>95</v>
      </c>
      <c r="J237" s="24"/>
      <c r="K237" s="20" t="str">
        <f t="shared" si="9"/>
        <v/>
      </c>
      <c r="L237" s="20" t="str">
        <f>IF(C237="","",IF(COUNTIF('01_rules'!$A$2:$A$39,C237)=0,"rule 없음",""))</f>
        <v/>
      </c>
      <c r="M237" s="20" t="str">
        <f t="shared" si="10"/>
        <v/>
      </c>
      <c r="N237" s="20" t="str">
        <f t="shared" si="11"/>
        <v/>
      </c>
    </row>
    <row r="238" spans="1:14" ht="15" customHeight="1">
      <c r="A238" s="17" t="s">
        <v>4063</v>
      </c>
      <c r="B238" s="17" t="s">
        <v>210</v>
      </c>
      <c r="C238" s="17" t="s">
        <v>334</v>
      </c>
      <c r="D238" s="17" t="s">
        <v>4064</v>
      </c>
      <c r="E238" s="17" t="s">
        <v>1284</v>
      </c>
      <c r="F238" s="17" t="s">
        <v>3396</v>
      </c>
      <c r="G238" s="17" t="s">
        <v>3397</v>
      </c>
      <c r="H238" s="17" t="s">
        <v>3398</v>
      </c>
      <c r="I238" s="19" t="s">
        <v>95</v>
      </c>
      <c r="J238" s="24"/>
      <c r="K238" s="20" t="str">
        <f t="shared" si="9"/>
        <v/>
      </c>
      <c r="L238" s="20" t="str">
        <f>IF(C238="","",IF(COUNTIF('01_rules'!$A$2:$A$39,C238)=0,"rule 없음",""))</f>
        <v/>
      </c>
      <c r="M238" s="20" t="str">
        <f t="shared" si="10"/>
        <v/>
      </c>
      <c r="N238" s="20" t="str">
        <f t="shared" si="11"/>
        <v/>
      </c>
    </row>
    <row r="239" spans="1:14" ht="15" customHeight="1">
      <c r="A239" s="17" t="s">
        <v>4065</v>
      </c>
      <c r="B239" s="17" t="s">
        <v>210</v>
      </c>
      <c r="C239" s="17" t="s">
        <v>141</v>
      </c>
      <c r="D239" s="17" t="s">
        <v>4066</v>
      </c>
      <c r="E239" s="17" t="s">
        <v>1287</v>
      </c>
      <c r="F239" s="17" t="s">
        <v>3593</v>
      </c>
      <c r="G239" s="17" t="s">
        <v>3594</v>
      </c>
      <c r="H239" s="17" t="s">
        <v>3595</v>
      </c>
      <c r="I239" s="19" t="s">
        <v>95</v>
      </c>
      <c r="J239" s="24"/>
      <c r="K239" s="20" t="str">
        <f t="shared" si="9"/>
        <v/>
      </c>
      <c r="L239" s="20" t="str">
        <f>IF(C239="","",IF(COUNTIF('01_rules'!$A$2:$A$39,C239)=0,"rule 없음",""))</f>
        <v/>
      </c>
      <c r="M239" s="20" t="str">
        <f t="shared" si="10"/>
        <v/>
      </c>
      <c r="N239" s="20" t="str">
        <f t="shared" si="11"/>
        <v/>
      </c>
    </row>
    <row r="240" spans="1:14" ht="15" customHeight="1">
      <c r="A240" s="17" t="s">
        <v>4067</v>
      </c>
      <c r="B240" s="17" t="s">
        <v>210</v>
      </c>
      <c r="C240" s="17" t="s">
        <v>334</v>
      </c>
      <c r="D240" s="17" t="s">
        <v>4068</v>
      </c>
      <c r="E240" s="17" t="s">
        <v>1290</v>
      </c>
      <c r="F240" s="17" t="s">
        <v>3396</v>
      </c>
      <c r="G240" s="17" t="s">
        <v>3397</v>
      </c>
      <c r="H240" s="17" t="s">
        <v>3398</v>
      </c>
      <c r="I240" s="19" t="s">
        <v>95</v>
      </c>
      <c r="J240" s="24"/>
      <c r="K240" s="20" t="str">
        <f t="shared" si="9"/>
        <v/>
      </c>
      <c r="L240" s="20" t="str">
        <f>IF(C240="","",IF(COUNTIF('01_rules'!$A$2:$A$39,C240)=0,"rule 없음",""))</f>
        <v/>
      </c>
      <c r="M240" s="20" t="str">
        <f t="shared" si="10"/>
        <v/>
      </c>
      <c r="N240" s="20" t="str">
        <f t="shared" si="11"/>
        <v/>
      </c>
    </row>
    <row r="241" spans="1:14" ht="15" customHeight="1">
      <c r="A241" s="17" t="s">
        <v>4069</v>
      </c>
      <c r="B241" s="17" t="s">
        <v>210</v>
      </c>
      <c r="C241" s="17" t="s">
        <v>334</v>
      </c>
      <c r="D241" s="17" t="s">
        <v>4070</v>
      </c>
      <c r="E241" s="17" t="s">
        <v>1293</v>
      </c>
      <c r="F241" s="17" t="s">
        <v>3396</v>
      </c>
      <c r="G241" s="17" t="s">
        <v>3397</v>
      </c>
      <c r="H241" s="17" t="s">
        <v>3398</v>
      </c>
      <c r="I241" s="19" t="s">
        <v>95</v>
      </c>
      <c r="J241" s="24"/>
      <c r="K241" s="20" t="str">
        <f t="shared" si="9"/>
        <v/>
      </c>
      <c r="L241" s="20" t="str">
        <f>IF(C241="","",IF(COUNTIF('01_rules'!$A$2:$A$39,C241)=0,"rule 없음",""))</f>
        <v/>
      </c>
      <c r="M241" s="20" t="str">
        <f t="shared" si="10"/>
        <v/>
      </c>
      <c r="N241" s="20" t="str">
        <f t="shared" si="11"/>
        <v/>
      </c>
    </row>
    <row r="242" spans="1:14" ht="23.25" customHeight="1">
      <c r="A242" s="17" t="s">
        <v>4071</v>
      </c>
      <c r="B242" s="17" t="s">
        <v>217</v>
      </c>
      <c r="C242" s="17" t="s">
        <v>215</v>
      </c>
      <c r="D242" s="17" t="s">
        <v>221</v>
      </c>
      <c r="E242" s="17" t="s">
        <v>1296</v>
      </c>
      <c r="F242" s="17" t="s">
        <v>2712</v>
      </c>
      <c r="G242" s="17" t="s">
        <v>4072</v>
      </c>
      <c r="H242" s="17" t="s">
        <v>4073</v>
      </c>
      <c r="I242" s="19" t="s">
        <v>95</v>
      </c>
      <c r="J242" s="24"/>
      <c r="K242" s="20" t="str">
        <f t="shared" si="9"/>
        <v/>
      </c>
      <c r="L242" s="20" t="str">
        <f>IF(C242="","",IF(COUNTIF('01_rules'!$A$2:$A$39,C242)=0,"rule 없음",""))</f>
        <v/>
      </c>
      <c r="M242" s="20" t="str">
        <f t="shared" si="10"/>
        <v/>
      </c>
      <c r="N242" s="20" t="str">
        <f t="shared" si="11"/>
        <v/>
      </c>
    </row>
    <row r="243" spans="1:14" ht="15" customHeight="1">
      <c r="A243" s="17" t="s">
        <v>4074</v>
      </c>
      <c r="B243" s="17" t="s">
        <v>217</v>
      </c>
      <c r="C243" s="17" t="s">
        <v>215</v>
      </c>
      <c r="D243" s="17" t="s">
        <v>4075</v>
      </c>
      <c r="E243" s="17" t="s">
        <v>1299</v>
      </c>
      <c r="F243" s="17" t="s">
        <v>2716</v>
      </c>
      <c r="G243" s="17" t="s">
        <v>4076</v>
      </c>
      <c r="H243" s="17" t="s">
        <v>4077</v>
      </c>
      <c r="I243" s="19" t="s">
        <v>95</v>
      </c>
      <c r="J243" s="24"/>
      <c r="K243" s="20" t="str">
        <f t="shared" si="9"/>
        <v/>
      </c>
      <c r="L243" s="20" t="str">
        <f>IF(C243="","",IF(COUNTIF('01_rules'!$A$2:$A$39,C243)=0,"rule 없음",""))</f>
        <v/>
      </c>
      <c r="M243" s="20" t="str">
        <f t="shared" si="10"/>
        <v/>
      </c>
      <c r="N243" s="20" t="str">
        <f t="shared" si="11"/>
        <v/>
      </c>
    </row>
    <row r="244" spans="1:14" ht="15" customHeight="1">
      <c r="A244" s="17" t="s">
        <v>4078</v>
      </c>
      <c r="B244" s="17" t="s">
        <v>217</v>
      </c>
      <c r="C244" s="17" t="s">
        <v>215</v>
      </c>
      <c r="D244" s="17" t="s">
        <v>4079</v>
      </c>
      <c r="E244" s="17" t="s">
        <v>1302</v>
      </c>
      <c r="F244" s="17" t="s">
        <v>2720</v>
      </c>
      <c r="G244" s="17" t="s">
        <v>4080</v>
      </c>
      <c r="H244" s="17" t="s">
        <v>4081</v>
      </c>
      <c r="I244" s="19" t="s">
        <v>95</v>
      </c>
      <c r="J244" s="24"/>
      <c r="K244" s="20" t="str">
        <f t="shared" si="9"/>
        <v/>
      </c>
      <c r="L244" s="20" t="str">
        <f>IF(C244="","",IF(COUNTIF('01_rules'!$A$2:$A$39,C244)=0,"rule 없음",""))</f>
        <v/>
      </c>
      <c r="M244" s="20" t="str">
        <f t="shared" si="10"/>
        <v/>
      </c>
      <c r="N244" s="20" t="str">
        <f t="shared" si="11"/>
        <v/>
      </c>
    </row>
    <row r="245" spans="1:14" ht="15" customHeight="1">
      <c r="A245" s="17" t="s">
        <v>4082</v>
      </c>
      <c r="B245" s="17" t="s">
        <v>217</v>
      </c>
      <c r="C245" s="17" t="s">
        <v>215</v>
      </c>
      <c r="D245" s="17" t="s">
        <v>4083</v>
      </c>
      <c r="E245" s="17" t="s">
        <v>1305</v>
      </c>
      <c r="F245" s="17" t="s">
        <v>2724</v>
      </c>
      <c r="G245" s="17" t="s">
        <v>4084</v>
      </c>
      <c r="H245" s="17" t="s">
        <v>4085</v>
      </c>
      <c r="I245" s="19" t="s">
        <v>95</v>
      </c>
      <c r="J245" s="24"/>
      <c r="K245" s="20" t="str">
        <f t="shared" si="9"/>
        <v/>
      </c>
      <c r="L245" s="20" t="str">
        <f>IF(C245="","",IF(COUNTIF('01_rules'!$A$2:$A$39,C245)=0,"rule 없음",""))</f>
        <v/>
      </c>
      <c r="M245" s="20" t="str">
        <f t="shared" si="10"/>
        <v/>
      </c>
      <c r="N245" s="20" t="str">
        <f t="shared" si="11"/>
        <v/>
      </c>
    </row>
    <row r="246" spans="1:14" ht="15" customHeight="1">
      <c r="A246" s="17" t="s">
        <v>4086</v>
      </c>
      <c r="B246" s="17" t="s">
        <v>217</v>
      </c>
      <c r="C246" s="17" t="s">
        <v>215</v>
      </c>
      <c r="D246" s="17" t="s">
        <v>4087</v>
      </c>
      <c r="E246" s="17" t="s">
        <v>1308</v>
      </c>
      <c r="F246" s="17" t="s">
        <v>2727</v>
      </c>
      <c r="G246" s="17" t="s">
        <v>4035</v>
      </c>
      <c r="H246" s="17" t="s">
        <v>4036</v>
      </c>
      <c r="I246" s="19" t="s">
        <v>95</v>
      </c>
      <c r="J246" s="24"/>
      <c r="K246" s="20" t="str">
        <f t="shared" si="9"/>
        <v/>
      </c>
      <c r="L246" s="20" t="str">
        <f>IF(C246="","",IF(COUNTIF('01_rules'!$A$2:$A$39,C246)=0,"rule 없음",""))</f>
        <v/>
      </c>
      <c r="M246" s="20" t="str">
        <f t="shared" si="10"/>
        <v/>
      </c>
      <c r="N246" s="20" t="str">
        <f t="shared" si="11"/>
        <v/>
      </c>
    </row>
    <row r="247" spans="1:14" ht="15" customHeight="1">
      <c r="A247" s="17" t="s">
        <v>4088</v>
      </c>
      <c r="B247" s="17" t="s">
        <v>217</v>
      </c>
      <c r="C247" s="17" t="s">
        <v>215</v>
      </c>
      <c r="D247" s="17" t="s">
        <v>4089</v>
      </c>
      <c r="E247" s="17" t="s">
        <v>1311</v>
      </c>
      <c r="F247" s="17" t="s">
        <v>2731</v>
      </c>
      <c r="G247" s="17" t="s">
        <v>4090</v>
      </c>
      <c r="H247" s="17" t="s">
        <v>4091</v>
      </c>
      <c r="I247" s="19" t="s">
        <v>95</v>
      </c>
      <c r="J247" s="24"/>
      <c r="K247" s="20" t="str">
        <f t="shared" si="9"/>
        <v/>
      </c>
      <c r="L247" s="20" t="str">
        <f>IF(C247="","",IF(COUNTIF('01_rules'!$A$2:$A$39,C247)=0,"rule 없음",""))</f>
        <v/>
      </c>
      <c r="M247" s="20" t="str">
        <f t="shared" si="10"/>
        <v/>
      </c>
      <c r="N247" s="20" t="str">
        <f t="shared" si="11"/>
        <v/>
      </c>
    </row>
    <row r="248" spans="1:14" ht="15" customHeight="1">
      <c r="A248" s="17" t="s">
        <v>4092</v>
      </c>
      <c r="B248" s="17" t="s">
        <v>217</v>
      </c>
      <c r="C248" s="17" t="s">
        <v>215</v>
      </c>
      <c r="D248" s="17" t="s">
        <v>4093</v>
      </c>
      <c r="E248" s="17" t="s">
        <v>1314</v>
      </c>
      <c r="F248" s="17" t="s">
        <v>2735</v>
      </c>
      <c r="G248" s="17" t="s">
        <v>4094</v>
      </c>
      <c r="H248" s="17" t="s">
        <v>4095</v>
      </c>
      <c r="I248" s="19" t="s">
        <v>95</v>
      </c>
      <c r="J248" s="24"/>
      <c r="K248" s="20" t="str">
        <f t="shared" si="9"/>
        <v/>
      </c>
      <c r="L248" s="20" t="str">
        <f>IF(C248="","",IF(COUNTIF('01_rules'!$A$2:$A$39,C248)=0,"rule 없음",""))</f>
        <v/>
      </c>
      <c r="M248" s="20" t="str">
        <f t="shared" si="10"/>
        <v/>
      </c>
      <c r="N248" s="20" t="str">
        <f t="shared" si="11"/>
        <v/>
      </c>
    </row>
    <row r="249" spans="1:14" ht="15" customHeight="1">
      <c r="A249" s="17" t="s">
        <v>4096</v>
      </c>
      <c r="B249" s="17" t="s">
        <v>217</v>
      </c>
      <c r="C249" s="17" t="s">
        <v>334</v>
      </c>
      <c r="D249" s="17" t="s">
        <v>4097</v>
      </c>
      <c r="E249" s="17" t="s">
        <v>1317</v>
      </c>
      <c r="F249" s="17" t="s">
        <v>3396</v>
      </c>
      <c r="G249" s="17" t="s">
        <v>3397</v>
      </c>
      <c r="H249" s="17" t="s">
        <v>3398</v>
      </c>
      <c r="I249" s="19" t="s">
        <v>95</v>
      </c>
      <c r="J249" s="24"/>
      <c r="K249" s="20" t="str">
        <f t="shared" si="9"/>
        <v/>
      </c>
      <c r="L249" s="20" t="str">
        <f>IF(C249="","",IF(COUNTIF('01_rules'!$A$2:$A$39,C249)=0,"rule 없음",""))</f>
        <v/>
      </c>
      <c r="M249" s="20" t="str">
        <f t="shared" si="10"/>
        <v/>
      </c>
      <c r="N249" s="20" t="str">
        <f t="shared" si="11"/>
        <v/>
      </c>
    </row>
    <row r="250" spans="1:14" ht="15" customHeight="1">
      <c r="A250" s="17" t="s">
        <v>4098</v>
      </c>
      <c r="B250" s="17" t="s">
        <v>217</v>
      </c>
      <c r="C250" s="17" t="s">
        <v>334</v>
      </c>
      <c r="D250" s="17" t="s">
        <v>4099</v>
      </c>
      <c r="E250" s="17" t="s">
        <v>1320</v>
      </c>
      <c r="F250" s="17" t="s">
        <v>3396</v>
      </c>
      <c r="G250" s="17" t="s">
        <v>3397</v>
      </c>
      <c r="H250" s="17" t="s">
        <v>3398</v>
      </c>
      <c r="I250" s="19" t="s">
        <v>95</v>
      </c>
      <c r="J250" s="24"/>
      <c r="K250" s="20" t="str">
        <f t="shared" si="9"/>
        <v/>
      </c>
      <c r="L250" s="20" t="str">
        <f>IF(C250="","",IF(COUNTIF('01_rules'!$A$2:$A$39,C250)=0,"rule 없음",""))</f>
        <v/>
      </c>
      <c r="M250" s="20" t="str">
        <f t="shared" si="10"/>
        <v/>
      </c>
      <c r="N250" s="20" t="str">
        <f t="shared" si="11"/>
        <v/>
      </c>
    </row>
    <row r="251" spans="1:14" ht="15" customHeight="1">
      <c r="A251" s="17" t="s">
        <v>4100</v>
      </c>
      <c r="B251" s="17" t="s">
        <v>217</v>
      </c>
      <c r="C251" s="17" t="s">
        <v>215</v>
      </c>
      <c r="D251" s="17" t="s">
        <v>4101</v>
      </c>
      <c r="E251" s="17" t="s">
        <v>1323</v>
      </c>
      <c r="F251" s="17" t="s">
        <v>2747</v>
      </c>
      <c r="G251" s="17" t="s">
        <v>4102</v>
      </c>
      <c r="H251" s="17" t="s">
        <v>4103</v>
      </c>
      <c r="I251" s="19" t="s">
        <v>95</v>
      </c>
      <c r="J251" s="24"/>
      <c r="K251" s="20" t="str">
        <f t="shared" si="9"/>
        <v/>
      </c>
      <c r="L251" s="20" t="str">
        <f>IF(C251="","",IF(COUNTIF('01_rules'!$A$2:$A$39,C251)=0,"rule 없음",""))</f>
        <v/>
      </c>
      <c r="M251" s="20" t="str">
        <f t="shared" si="10"/>
        <v/>
      </c>
      <c r="N251" s="20" t="str">
        <f t="shared" si="11"/>
        <v/>
      </c>
    </row>
    <row r="252" spans="1:14" ht="15" customHeight="1">
      <c r="A252" s="17" t="s">
        <v>4104</v>
      </c>
      <c r="B252" s="17" t="s">
        <v>217</v>
      </c>
      <c r="C252" s="17" t="s">
        <v>334</v>
      </c>
      <c r="D252" s="17" t="s">
        <v>4105</v>
      </c>
      <c r="E252" s="17" t="s">
        <v>1326</v>
      </c>
      <c r="F252" s="17" t="s">
        <v>3396</v>
      </c>
      <c r="G252" s="17" t="s">
        <v>3397</v>
      </c>
      <c r="H252" s="17" t="s">
        <v>3398</v>
      </c>
      <c r="I252" s="19" t="s">
        <v>95</v>
      </c>
      <c r="J252" s="24"/>
      <c r="K252" s="20" t="str">
        <f t="shared" si="9"/>
        <v/>
      </c>
      <c r="L252" s="20" t="str">
        <f>IF(C252="","",IF(COUNTIF('01_rules'!$A$2:$A$39,C252)=0,"rule 없음",""))</f>
        <v/>
      </c>
      <c r="M252" s="20" t="str">
        <f t="shared" si="10"/>
        <v/>
      </c>
      <c r="N252" s="20" t="str">
        <f t="shared" si="11"/>
        <v/>
      </c>
    </row>
    <row r="253" spans="1:14" ht="15" customHeight="1">
      <c r="A253" s="17" t="s">
        <v>4106</v>
      </c>
      <c r="B253" s="17" t="s">
        <v>217</v>
      </c>
      <c r="C253" s="17" t="s">
        <v>310</v>
      </c>
      <c r="D253" s="17" t="s">
        <v>4107</v>
      </c>
      <c r="E253" s="17" t="s">
        <v>1329</v>
      </c>
      <c r="F253" s="17" t="s">
        <v>3397</v>
      </c>
      <c r="G253" s="17" t="s">
        <v>3396</v>
      </c>
      <c r="H253" s="17" t="s">
        <v>3398</v>
      </c>
      <c r="I253" s="19" t="s">
        <v>95</v>
      </c>
      <c r="J253" s="24"/>
      <c r="K253" s="20" t="str">
        <f t="shared" si="9"/>
        <v/>
      </c>
      <c r="L253" s="20" t="str">
        <f>IF(C253="","",IF(COUNTIF('01_rules'!$A$2:$A$39,C253)=0,"rule 없음",""))</f>
        <v/>
      </c>
      <c r="M253" s="20" t="str">
        <f t="shared" si="10"/>
        <v/>
      </c>
      <c r="N253" s="20" t="str">
        <f t="shared" si="11"/>
        <v/>
      </c>
    </row>
    <row r="254" spans="1:14" ht="15" customHeight="1">
      <c r="A254" s="17" t="s">
        <v>4108</v>
      </c>
      <c r="B254" s="17" t="s">
        <v>217</v>
      </c>
      <c r="C254" s="17" t="s">
        <v>141</v>
      </c>
      <c r="D254" s="17" t="s">
        <v>4109</v>
      </c>
      <c r="E254" s="17" t="s">
        <v>1332</v>
      </c>
      <c r="F254" s="17" t="s">
        <v>3593</v>
      </c>
      <c r="G254" s="17" t="s">
        <v>3594</v>
      </c>
      <c r="H254" s="17" t="s">
        <v>3595</v>
      </c>
      <c r="I254" s="19" t="s">
        <v>95</v>
      </c>
      <c r="J254" s="24"/>
      <c r="K254" s="20" t="str">
        <f t="shared" si="9"/>
        <v/>
      </c>
      <c r="L254" s="20" t="str">
        <f>IF(C254="","",IF(COUNTIF('01_rules'!$A$2:$A$39,C254)=0,"rule 없음",""))</f>
        <v/>
      </c>
      <c r="M254" s="20" t="str">
        <f t="shared" si="10"/>
        <v/>
      </c>
      <c r="N254" s="20" t="str">
        <f t="shared" si="11"/>
        <v/>
      </c>
    </row>
    <row r="255" spans="1:14" ht="15" customHeight="1">
      <c r="A255" s="17" t="s">
        <v>4110</v>
      </c>
      <c r="B255" s="17" t="s">
        <v>217</v>
      </c>
      <c r="C255" s="17" t="s">
        <v>334</v>
      </c>
      <c r="D255" s="17" t="s">
        <v>4111</v>
      </c>
      <c r="E255" s="17" t="s">
        <v>1335</v>
      </c>
      <c r="F255" s="17" t="s">
        <v>3396</v>
      </c>
      <c r="G255" s="17" t="s">
        <v>3397</v>
      </c>
      <c r="H255" s="17" t="s">
        <v>3398</v>
      </c>
      <c r="I255" s="19" t="s">
        <v>95</v>
      </c>
      <c r="J255" s="24"/>
      <c r="K255" s="20" t="str">
        <f t="shared" si="9"/>
        <v/>
      </c>
      <c r="L255" s="20" t="str">
        <f>IF(C255="","",IF(COUNTIF('01_rules'!$A$2:$A$39,C255)=0,"rule 없음",""))</f>
        <v/>
      </c>
      <c r="M255" s="20" t="str">
        <f t="shared" si="10"/>
        <v/>
      </c>
      <c r="N255" s="20" t="str">
        <f t="shared" si="11"/>
        <v/>
      </c>
    </row>
    <row r="256" spans="1:14" ht="23.25" customHeight="1">
      <c r="A256" s="17" t="s">
        <v>4112</v>
      </c>
      <c r="B256" s="17" t="s">
        <v>217</v>
      </c>
      <c r="C256" s="17" t="s">
        <v>334</v>
      </c>
      <c r="D256" s="17" t="s">
        <v>4113</v>
      </c>
      <c r="E256" s="17" t="s">
        <v>1338</v>
      </c>
      <c r="F256" s="17" t="s">
        <v>3396</v>
      </c>
      <c r="G256" s="17" t="s">
        <v>3397</v>
      </c>
      <c r="H256" s="17" t="s">
        <v>3398</v>
      </c>
      <c r="I256" s="19" t="s">
        <v>95</v>
      </c>
      <c r="J256" s="24"/>
      <c r="K256" s="20" t="str">
        <f t="shared" si="9"/>
        <v/>
      </c>
      <c r="L256" s="20" t="str">
        <f>IF(C256="","",IF(COUNTIF('01_rules'!$A$2:$A$39,C256)=0,"rule 없음",""))</f>
        <v/>
      </c>
      <c r="M256" s="20" t="str">
        <f t="shared" si="10"/>
        <v/>
      </c>
      <c r="N256" s="20" t="str">
        <f t="shared" si="11"/>
        <v/>
      </c>
    </row>
    <row r="257" spans="1:14" ht="15" customHeight="1">
      <c r="A257" s="17" t="s">
        <v>4114</v>
      </c>
      <c r="B257" s="17" t="s">
        <v>217</v>
      </c>
      <c r="C257" s="17" t="s">
        <v>141</v>
      </c>
      <c r="D257" s="17" t="s">
        <v>4115</v>
      </c>
      <c r="E257" s="17" t="s">
        <v>1341</v>
      </c>
      <c r="F257" s="17" t="s">
        <v>3593</v>
      </c>
      <c r="G257" s="17" t="s">
        <v>3594</v>
      </c>
      <c r="H257" s="17" t="s">
        <v>3595</v>
      </c>
      <c r="I257" s="19" t="s">
        <v>95</v>
      </c>
      <c r="J257" s="24"/>
      <c r="K257" s="20" t="str">
        <f t="shared" si="9"/>
        <v/>
      </c>
      <c r="L257" s="20" t="str">
        <f>IF(C257="","",IF(COUNTIF('01_rules'!$A$2:$A$39,C257)=0,"rule 없음",""))</f>
        <v/>
      </c>
      <c r="M257" s="20" t="str">
        <f t="shared" si="10"/>
        <v/>
      </c>
      <c r="N257" s="20" t="str">
        <f t="shared" si="11"/>
        <v/>
      </c>
    </row>
    <row r="258" spans="1:14" ht="15" customHeight="1">
      <c r="A258" s="17" t="s">
        <v>4116</v>
      </c>
      <c r="B258" s="17" t="s">
        <v>217</v>
      </c>
      <c r="C258" s="17" t="s">
        <v>141</v>
      </c>
      <c r="D258" s="17" t="s">
        <v>4117</v>
      </c>
      <c r="E258" s="17" t="s">
        <v>1344</v>
      </c>
      <c r="F258" s="17" t="s">
        <v>3593</v>
      </c>
      <c r="G258" s="17" t="s">
        <v>3594</v>
      </c>
      <c r="H258" s="17" t="s">
        <v>3595</v>
      </c>
      <c r="I258" s="19" t="s">
        <v>95</v>
      </c>
      <c r="J258" s="24"/>
      <c r="K258" s="20" t="str">
        <f t="shared" ref="K258:K321" si="12">IF(A258="","",IF(COUNTIF($A$2:$A$401,A258)&gt;1,"중복",""))</f>
        <v/>
      </c>
      <c r="L258" s="20" t="str">
        <f>IF(C258="","",IF(COUNTIF('01_rules'!$A$2:$A$39,C258)=0,"rule 없음",""))</f>
        <v/>
      </c>
      <c r="M258" s="20" t="str">
        <f t="shared" ref="M258:M321" si="13">IF(D258="","",IF(D258=E258,"error=correct",""))</f>
        <v/>
      </c>
      <c r="N258" s="20" t="str">
        <f t="shared" ref="N258:N321" si="14">IF(H258="","",IF(LEN(H258)-LEN(SUBSTITUTE(H258,";",""))&lt;&gt;2,"보기 3개 아님",""))</f>
        <v/>
      </c>
    </row>
    <row r="259" spans="1:14" ht="15" customHeight="1">
      <c r="A259" s="17" t="s">
        <v>4118</v>
      </c>
      <c r="B259" s="17" t="s">
        <v>217</v>
      </c>
      <c r="C259" s="17" t="s">
        <v>334</v>
      </c>
      <c r="D259" s="17" t="s">
        <v>4119</v>
      </c>
      <c r="E259" s="17" t="s">
        <v>1347</v>
      </c>
      <c r="F259" s="17" t="s">
        <v>3396</v>
      </c>
      <c r="G259" s="17" t="s">
        <v>3397</v>
      </c>
      <c r="H259" s="17" t="s">
        <v>3398</v>
      </c>
      <c r="I259" s="19" t="s">
        <v>95</v>
      </c>
      <c r="J259" s="24"/>
      <c r="K259" s="20" t="str">
        <f t="shared" si="12"/>
        <v/>
      </c>
      <c r="L259" s="20" t="str">
        <f>IF(C259="","",IF(COUNTIF('01_rules'!$A$2:$A$39,C259)=0,"rule 없음",""))</f>
        <v/>
      </c>
      <c r="M259" s="20" t="str">
        <f t="shared" si="13"/>
        <v/>
      </c>
      <c r="N259" s="20" t="str">
        <f t="shared" si="14"/>
        <v/>
      </c>
    </row>
    <row r="260" spans="1:14" ht="15" customHeight="1">
      <c r="A260" s="17" t="s">
        <v>4120</v>
      </c>
      <c r="B260" s="17" t="s">
        <v>217</v>
      </c>
      <c r="C260" s="17" t="s">
        <v>334</v>
      </c>
      <c r="D260" s="17" t="s">
        <v>4121</v>
      </c>
      <c r="E260" s="17" t="s">
        <v>1350</v>
      </c>
      <c r="F260" s="17" t="s">
        <v>3396</v>
      </c>
      <c r="G260" s="17" t="s">
        <v>3397</v>
      </c>
      <c r="H260" s="17" t="s">
        <v>3398</v>
      </c>
      <c r="I260" s="19" t="s">
        <v>95</v>
      </c>
      <c r="J260" s="24"/>
      <c r="K260" s="20" t="str">
        <f t="shared" si="12"/>
        <v/>
      </c>
      <c r="L260" s="20" t="str">
        <f>IF(C260="","",IF(COUNTIF('01_rules'!$A$2:$A$39,C260)=0,"rule 없음",""))</f>
        <v/>
      </c>
      <c r="M260" s="20" t="str">
        <f t="shared" si="13"/>
        <v/>
      </c>
      <c r="N260" s="20" t="str">
        <f t="shared" si="14"/>
        <v/>
      </c>
    </row>
    <row r="261" spans="1:14" ht="15" customHeight="1">
      <c r="A261" s="17" t="s">
        <v>4122</v>
      </c>
      <c r="B261" s="17" t="s">
        <v>217</v>
      </c>
      <c r="C261" s="17" t="s">
        <v>334</v>
      </c>
      <c r="D261" s="17" t="s">
        <v>4123</v>
      </c>
      <c r="E261" s="17" t="s">
        <v>1353</v>
      </c>
      <c r="F261" s="17" t="s">
        <v>3396</v>
      </c>
      <c r="G261" s="17" t="s">
        <v>3397</v>
      </c>
      <c r="H261" s="17" t="s">
        <v>3398</v>
      </c>
      <c r="I261" s="19" t="s">
        <v>95</v>
      </c>
      <c r="J261" s="24"/>
      <c r="K261" s="20" t="str">
        <f t="shared" si="12"/>
        <v/>
      </c>
      <c r="L261" s="20" t="str">
        <f>IF(C261="","",IF(COUNTIF('01_rules'!$A$2:$A$39,C261)=0,"rule 없음",""))</f>
        <v/>
      </c>
      <c r="M261" s="20" t="str">
        <f t="shared" si="13"/>
        <v/>
      </c>
      <c r="N261" s="20" t="str">
        <f t="shared" si="14"/>
        <v/>
      </c>
    </row>
    <row r="262" spans="1:14" ht="15" customHeight="1">
      <c r="A262" s="17" t="s">
        <v>4124</v>
      </c>
      <c r="B262" s="17" t="s">
        <v>224</v>
      </c>
      <c r="C262" s="17" t="s">
        <v>222</v>
      </c>
      <c r="D262" s="17" t="s">
        <v>228</v>
      </c>
      <c r="E262" s="17" t="s">
        <v>1356</v>
      </c>
      <c r="F262" s="17" t="s">
        <v>4125</v>
      </c>
      <c r="G262" s="17" t="s">
        <v>4126</v>
      </c>
      <c r="H262" s="17" t="s">
        <v>4127</v>
      </c>
      <c r="I262" s="19" t="s">
        <v>95</v>
      </c>
      <c r="J262" s="24"/>
      <c r="K262" s="20" t="str">
        <f t="shared" si="12"/>
        <v/>
      </c>
      <c r="L262" s="20" t="str">
        <f>IF(C262="","",IF(COUNTIF('01_rules'!$A$2:$A$39,C262)=0,"rule 없음",""))</f>
        <v/>
      </c>
      <c r="M262" s="20" t="str">
        <f t="shared" si="13"/>
        <v/>
      </c>
      <c r="N262" s="20" t="str">
        <f t="shared" si="14"/>
        <v/>
      </c>
    </row>
    <row r="263" spans="1:14" ht="15" customHeight="1">
      <c r="A263" s="17" t="s">
        <v>4128</v>
      </c>
      <c r="B263" s="17" t="s">
        <v>224</v>
      </c>
      <c r="C263" s="17" t="s">
        <v>222</v>
      </c>
      <c r="D263" s="17" t="s">
        <v>4129</v>
      </c>
      <c r="E263" s="17" t="s">
        <v>1359</v>
      </c>
      <c r="F263" s="17" t="s">
        <v>4130</v>
      </c>
      <c r="G263" s="17" t="s">
        <v>4131</v>
      </c>
      <c r="H263" s="17" t="s">
        <v>4132</v>
      </c>
      <c r="I263" s="19" t="s">
        <v>95</v>
      </c>
      <c r="J263" s="24"/>
      <c r="K263" s="20" t="str">
        <f t="shared" si="12"/>
        <v/>
      </c>
      <c r="L263" s="20" t="str">
        <f>IF(C263="","",IF(COUNTIF('01_rules'!$A$2:$A$39,C263)=0,"rule 없음",""))</f>
        <v/>
      </c>
      <c r="M263" s="20" t="str">
        <f t="shared" si="13"/>
        <v/>
      </c>
      <c r="N263" s="20" t="str">
        <f t="shared" si="14"/>
        <v/>
      </c>
    </row>
    <row r="264" spans="1:14" ht="15" customHeight="1">
      <c r="A264" s="17" t="s">
        <v>4133</v>
      </c>
      <c r="B264" s="17" t="s">
        <v>224</v>
      </c>
      <c r="C264" s="17" t="s">
        <v>334</v>
      </c>
      <c r="D264" s="17" t="s">
        <v>4134</v>
      </c>
      <c r="E264" s="17" t="s">
        <v>1362</v>
      </c>
      <c r="F264" s="17" t="s">
        <v>3396</v>
      </c>
      <c r="G264" s="17" t="s">
        <v>3397</v>
      </c>
      <c r="H264" s="17" t="s">
        <v>3398</v>
      </c>
      <c r="I264" s="19" t="s">
        <v>95</v>
      </c>
      <c r="J264" s="24"/>
      <c r="K264" s="20" t="str">
        <f t="shared" si="12"/>
        <v/>
      </c>
      <c r="L264" s="20" t="str">
        <f>IF(C264="","",IF(COUNTIF('01_rules'!$A$2:$A$39,C264)=0,"rule 없음",""))</f>
        <v/>
      </c>
      <c r="M264" s="20" t="str">
        <f t="shared" si="13"/>
        <v/>
      </c>
      <c r="N264" s="20" t="str">
        <f t="shared" si="14"/>
        <v/>
      </c>
    </row>
    <row r="265" spans="1:14" ht="15" customHeight="1">
      <c r="A265" s="17" t="s">
        <v>4135</v>
      </c>
      <c r="B265" s="17" t="s">
        <v>224</v>
      </c>
      <c r="C265" s="17" t="s">
        <v>181</v>
      </c>
      <c r="D265" s="17" t="s">
        <v>4136</v>
      </c>
      <c r="E265" s="17" t="s">
        <v>1365</v>
      </c>
      <c r="F265" s="17" t="s">
        <v>4137</v>
      </c>
      <c r="G265" s="17" t="s">
        <v>4138</v>
      </c>
      <c r="H265" s="17" t="s">
        <v>4139</v>
      </c>
      <c r="I265" s="19" t="s">
        <v>95</v>
      </c>
      <c r="J265" s="24"/>
      <c r="K265" s="20" t="str">
        <f t="shared" si="12"/>
        <v/>
      </c>
      <c r="L265" s="20" t="str">
        <f>IF(C265="","",IF(COUNTIF('01_rules'!$A$2:$A$39,C265)=0,"rule 없음",""))</f>
        <v/>
      </c>
      <c r="M265" s="20" t="str">
        <f t="shared" si="13"/>
        <v/>
      </c>
      <c r="N265" s="20" t="str">
        <f t="shared" si="14"/>
        <v/>
      </c>
    </row>
    <row r="266" spans="1:14" ht="15" customHeight="1">
      <c r="A266" s="17" t="s">
        <v>4140</v>
      </c>
      <c r="B266" s="17" t="s">
        <v>224</v>
      </c>
      <c r="C266" s="17" t="s">
        <v>329</v>
      </c>
      <c r="D266" s="17" t="s">
        <v>4141</v>
      </c>
      <c r="E266" s="17" t="s">
        <v>1368</v>
      </c>
      <c r="F266" s="17" t="s">
        <v>3624</v>
      </c>
      <c r="G266" s="17" t="s">
        <v>4142</v>
      </c>
      <c r="H266" s="17" t="s">
        <v>3898</v>
      </c>
      <c r="I266" s="19" t="s">
        <v>95</v>
      </c>
      <c r="J266" s="24"/>
      <c r="K266" s="20" t="str">
        <f t="shared" si="12"/>
        <v/>
      </c>
      <c r="L266" s="20" t="str">
        <f>IF(C266="","",IF(COUNTIF('01_rules'!$A$2:$A$39,C266)=0,"rule 없음",""))</f>
        <v/>
      </c>
      <c r="M266" s="20" t="str">
        <f t="shared" si="13"/>
        <v/>
      </c>
      <c r="N266" s="20" t="str">
        <f t="shared" si="14"/>
        <v/>
      </c>
    </row>
    <row r="267" spans="1:14" ht="15" customHeight="1">
      <c r="A267" s="17" t="s">
        <v>4143</v>
      </c>
      <c r="B267" s="17" t="s">
        <v>224</v>
      </c>
      <c r="C267" s="17" t="s">
        <v>222</v>
      </c>
      <c r="D267" s="17" t="s">
        <v>4144</v>
      </c>
      <c r="E267" s="17" t="s">
        <v>1371</v>
      </c>
      <c r="F267" s="17" t="s">
        <v>4145</v>
      </c>
      <c r="G267" s="17" t="s">
        <v>4146</v>
      </c>
      <c r="H267" s="17" t="s">
        <v>4147</v>
      </c>
      <c r="I267" s="19" t="s">
        <v>95</v>
      </c>
      <c r="J267" s="24"/>
      <c r="K267" s="20" t="str">
        <f t="shared" si="12"/>
        <v/>
      </c>
      <c r="L267" s="20" t="str">
        <f>IF(C267="","",IF(COUNTIF('01_rules'!$A$2:$A$39,C267)=0,"rule 없음",""))</f>
        <v/>
      </c>
      <c r="M267" s="20" t="str">
        <f t="shared" si="13"/>
        <v/>
      </c>
      <c r="N267" s="20" t="str">
        <f t="shared" si="14"/>
        <v/>
      </c>
    </row>
    <row r="268" spans="1:14" ht="15" customHeight="1">
      <c r="A268" s="17" t="s">
        <v>4148</v>
      </c>
      <c r="B268" s="17" t="s">
        <v>224</v>
      </c>
      <c r="C268" s="17" t="s">
        <v>222</v>
      </c>
      <c r="D268" s="17" t="s">
        <v>4149</v>
      </c>
      <c r="E268" s="17" t="s">
        <v>1374</v>
      </c>
      <c r="F268" s="17" t="s">
        <v>4150</v>
      </c>
      <c r="G268" s="17" t="s">
        <v>4151</v>
      </c>
      <c r="H268" s="17" t="s">
        <v>4152</v>
      </c>
      <c r="I268" s="19" t="s">
        <v>95</v>
      </c>
      <c r="J268" s="24"/>
      <c r="K268" s="20" t="str">
        <f t="shared" si="12"/>
        <v/>
      </c>
      <c r="L268" s="20" t="str">
        <f>IF(C268="","",IF(COUNTIF('01_rules'!$A$2:$A$39,C268)=0,"rule 없음",""))</f>
        <v/>
      </c>
      <c r="M268" s="20" t="str">
        <f t="shared" si="13"/>
        <v/>
      </c>
      <c r="N268" s="20" t="str">
        <f t="shared" si="14"/>
        <v/>
      </c>
    </row>
    <row r="269" spans="1:14" ht="15" customHeight="1">
      <c r="A269" s="17" t="s">
        <v>4153</v>
      </c>
      <c r="B269" s="17" t="s">
        <v>224</v>
      </c>
      <c r="C269" s="17" t="s">
        <v>222</v>
      </c>
      <c r="D269" s="17" t="s">
        <v>4154</v>
      </c>
      <c r="E269" s="17" t="s">
        <v>1377</v>
      </c>
      <c r="F269" s="17" t="s">
        <v>4155</v>
      </c>
      <c r="G269" s="17" t="s">
        <v>4156</v>
      </c>
      <c r="H269" s="17" t="s">
        <v>4157</v>
      </c>
      <c r="I269" s="19" t="s">
        <v>95</v>
      </c>
      <c r="J269" s="24"/>
      <c r="K269" s="20" t="str">
        <f t="shared" si="12"/>
        <v/>
      </c>
      <c r="L269" s="20" t="str">
        <f>IF(C269="","",IF(COUNTIF('01_rules'!$A$2:$A$39,C269)=0,"rule 없음",""))</f>
        <v/>
      </c>
      <c r="M269" s="20" t="str">
        <f t="shared" si="13"/>
        <v/>
      </c>
      <c r="N269" s="20" t="str">
        <f t="shared" si="14"/>
        <v/>
      </c>
    </row>
    <row r="270" spans="1:14" ht="15" customHeight="1">
      <c r="A270" s="17" t="s">
        <v>4158</v>
      </c>
      <c r="B270" s="17" t="s">
        <v>224</v>
      </c>
      <c r="C270" s="17" t="s">
        <v>161</v>
      </c>
      <c r="D270" s="17" t="s">
        <v>4159</v>
      </c>
      <c r="E270" s="17" t="s">
        <v>1380</v>
      </c>
      <c r="F270" s="17" t="s">
        <v>4160</v>
      </c>
      <c r="G270" s="17" t="s">
        <v>4161</v>
      </c>
      <c r="H270" s="17" t="s">
        <v>4162</v>
      </c>
      <c r="I270" s="19" t="s">
        <v>95</v>
      </c>
      <c r="J270" s="24"/>
      <c r="K270" s="20" t="str">
        <f t="shared" si="12"/>
        <v/>
      </c>
      <c r="L270" s="20" t="str">
        <f>IF(C270="","",IF(COUNTIF('01_rules'!$A$2:$A$39,C270)=0,"rule 없음",""))</f>
        <v/>
      </c>
      <c r="M270" s="20" t="str">
        <f t="shared" si="13"/>
        <v/>
      </c>
      <c r="N270" s="20" t="str">
        <f t="shared" si="14"/>
        <v/>
      </c>
    </row>
    <row r="271" spans="1:14" ht="15" customHeight="1">
      <c r="A271" s="17" t="s">
        <v>4163</v>
      </c>
      <c r="B271" s="17" t="s">
        <v>224</v>
      </c>
      <c r="C271" s="17" t="s">
        <v>229</v>
      </c>
      <c r="D271" s="17" t="s">
        <v>4164</v>
      </c>
      <c r="E271" s="17" t="s">
        <v>1383</v>
      </c>
      <c r="F271" s="17" t="s">
        <v>4165</v>
      </c>
      <c r="G271" s="17" t="s">
        <v>4166</v>
      </c>
      <c r="H271" s="17" t="s">
        <v>3343</v>
      </c>
      <c r="I271" s="19" t="s">
        <v>95</v>
      </c>
      <c r="J271" s="24"/>
      <c r="K271" s="20" t="str">
        <f t="shared" si="12"/>
        <v/>
      </c>
      <c r="L271" s="20" t="str">
        <f>IF(C271="","",IF(COUNTIF('01_rules'!$A$2:$A$39,C271)=0,"rule 없음",""))</f>
        <v/>
      </c>
      <c r="M271" s="20" t="str">
        <f t="shared" si="13"/>
        <v/>
      </c>
      <c r="N271" s="20" t="str">
        <f t="shared" si="14"/>
        <v/>
      </c>
    </row>
    <row r="272" spans="1:14" ht="15" customHeight="1">
      <c r="A272" s="17" t="s">
        <v>4167</v>
      </c>
      <c r="B272" s="17" t="s">
        <v>224</v>
      </c>
      <c r="C272" s="17" t="s">
        <v>222</v>
      </c>
      <c r="D272" s="17" t="s">
        <v>4168</v>
      </c>
      <c r="E272" s="17" t="s">
        <v>1386</v>
      </c>
      <c r="F272" s="17" t="s">
        <v>4169</v>
      </c>
      <c r="G272" s="17" t="s">
        <v>4170</v>
      </c>
      <c r="H272" s="17" t="s">
        <v>4171</v>
      </c>
      <c r="I272" s="19" t="s">
        <v>95</v>
      </c>
      <c r="J272" s="24"/>
      <c r="K272" s="20" t="str">
        <f t="shared" si="12"/>
        <v/>
      </c>
      <c r="L272" s="20" t="str">
        <f>IF(C272="","",IF(COUNTIF('01_rules'!$A$2:$A$39,C272)=0,"rule 없음",""))</f>
        <v/>
      </c>
      <c r="M272" s="20" t="str">
        <f t="shared" si="13"/>
        <v/>
      </c>
      <c r="N272" s="20" t="str">
        <f t="shared" si="14"/>
        <v/>
      </c>
    </row>
    <row r="273" spans="1:14" ht="15" customHeight="1">
      <c r="A273" s="17" t="s">
        <v>4172</v>
      </c>
      <c r="B273" s="17" t="s">
        <v>224</v>
      </c>
      <c r="C273" s="17" t="s">
        <v>222</v>
      </c>
      <c r="D273" s="17" t="s">
        <v>4173</v>
      </c>
      <c r="E273" s="17" t="s">
        <v>1389</v>
      </c>
      <c r="F273" s="17" t="s">
        <v>4174</v>
      </c>
      <c r="G273" s="17" t="s">
        <v>4175</v>
      </c>
      <c r="H273" s="17" t="s">
        <v>4176</v>
      </c>
      <c r="I273" s="19" t="s">
        <v>95</v>
      </c>
      <c r="J273" s="24"/>
      <c r="K273" s="20" t="str">
        <f t="shared" si="12"/>
        <v/>
      </c>
      <c r="L273" s="20" t="str">
        <f>IF(C273="","",IF(COUNTIF('01_rules'!$A$2:$A$39,C273)=0,"rule 없음",""))</f>
        <v/>
      </c>
      <c r="M273" s="20" t="str">
        <f t="shared" si="13"/>
        <v/>
      </c>
      <c r="N273" s="20" t="str">
        <f t="shared" si="14"/>
        <v/>
      </c>
    </row>
    <row r="274" spans="1:14" ht="15" customHeight="1">
      <c r="A274" s="17" t="s">
        <v>4177</v>
      </c>
      <c r="B274" s="17" t="s">
        <v>224</v>
      </c>
      <c r="C274" s="17" t="s">
        <v>334</v>
      </c>
      <c r="D274" s="17" t="s">
        <v>4178</v>
      </c>
      <c r="E274" s="17" t="s">
        <v>1392</v>
      </c>
      <c r="F274" s="17" t="s">
        <v>3396</v>
      </c>
      <c r="G274" s="17" t="s">
        <v>3397</v>
      </c>
      <c r="H274" s="17" t="s">
        <v>3398</v>
      </c>
      <c r="I274" s="19" t="s">
        <v>95</v>
      </c>
      <c r="J274" s="24"/>
      <c r="K274" s="20" t="str">
        <f t="shared" si="12"/>
        <v/>
      </c>
      <c r="L274" s="20" t="str">
        <f>IF(C274="","",IF(COUNTIF('01_rules'!$A$2:$A$39,C274)=0,"rule 없음",""))</f>
        <v/>
      </c>
      <c r="M274" s="20" t="str">
        <f t="shared" si="13"/>
        <v/>
      </c>
      <c r="N274" s="20" t="str">
        <f t="shared" si="14"/>
        <v/>
      </c>
    </row>
    <row r="275" spans="1:14" ht="23.25" customHeight="1">
      <c r="A275" s="17" t="s">
        <v>4179</v>
      </c>
      <c r="B275" s="17" t="s">
        <v>224</v>
      </c>
      <c r="C275" s="17" t="s">
        <v>334</v>
      </c>
      <c r="D275" s="17" t="s">
        <v>4180</v>
      </c>
      <c r="E275" s="17" t="s">
        <v>1395</v>
      </c>
      <c r="F275" s="17" t="s">
        <v>3396</v>
      </c>
      <c r="G275" s="17" t="s">
        <v>3397</v>
      </c>
      <c r="H275" s="17" t="s">
        <v>3398</v>
      </c>
      <c r="I275" s="19" t="s">
        <v>95</v>
      </c>
      <c r="J275" s="24"/>
      <c r="K275" s="20" t="str">
        <f t="shared" si="12"/>
        <v/>
      </c>
      <c r="L275" s="20" t="str">
        <f>IF(C275="","",IF(COUNTIF('01_rules'!$A$2:$A$39,C275)=0,"rule 없음",""))</f>
        <v/>
      </c>
      <c r="M275" s="20" t="str">
        <f t="shared" si="13"/>
        <v/>
      </c>
      <c r="N275" s="20" t="str">
        <f t="shared" si="14"/>
        <v/>
      </c>
    </row>
    <row r="276" spans="1:14" ht="15" customHeight="1">
      <c r="A276" s="17" t="s">
        <v>4181</v>
      </c>
      <c r="B276" s="17" t="s">
        <v>224</v>
      </c>
      <c r="C276" s="17" t="s">
        <v>334</v>
      </c>
      <c r="D276" s="17" t="s">
        <v>4182</v>
      </c>
      <c r="E276" s="17" t="s">
        <v>1398</v>
      </c>
      <c r="F276" s="17" t="s">
        <v>3396</v>
      </c>
      <c r="G276" s="17" t="s">
        <v>3397</v>
      </c>
      <c r="H276" s="17" t="s">
        <v>3398</v>
      </c>
      <c r="I276" s="19" t="s">
        <v>95</v>
      </c>
      <c r="J276" s="24"/>
      <c r="K276" s="20" t="str">
        <f t="shared" si="12"/>
        <v/>
      </c>
      <c r="L276" s="20" t="str">
        <f>IF(C276="","",IF(COUNTIF('01_rules'!$A$2:$A$39,C276)=0,"rule 없음",""))</f>
        <v/>
      </c>
      <c r="M276" s="20" t="str">
        <f t="shared" si="13"/>
        <v/>
      </c>
      <c r="N276" s="20" t="str">
        <f t="shared" si="14"/>
        <v/>
      </c>
    </row>
    <row r="277" spans="1:14" ht="15" customHeight="1">
      <c r="A277" s="17" t="s">
        <v>4183</v>
      </c>
      <c r="B277" s="17" t="s">
        <v>224</v>
      </c>
      <c r="C277" s="17" t="s">
        <v>334</v>
      </c>
      <c r="D277" s="17" t="s">
        <v>4184</v>
      </c>
      <c r="E277" s="17" t="s">
        <v>1401</v>
      </c>
      <c r="F277" s="17" t="s">
        <v>3396</v>
      </c>
      <c r="G277" s="17" t="s">
        <v>3397</v>
      </c>
      <c r="H277" s="17" t="s">
        <v>3398</v>
      </c>
      <c r="I277" s="19" t="s">
        <v>95</v>
      </c>
      <c r="J277" s="24"/>
      <c r="K277" s="20" t="str">
        <f t="shared" si="12"/>
        <v/>
      </c>
      <c r="L277" s="20" t="str">
        <f>IF(C277="","",IF(COUNTIF('01_rules'!$A$2:$A$39,C277)=0,"rule 없음",""))</f>
        <v/>
      </c>
      <c r="M277" s="20" t="str">
        <f t="shared" si="13"/>
        <v/>
      </c>
      <c r="N277" s="20" t="str">
        <f t="shared" si="14"/>
        <v/>
      </c>
    </row>
    <row r="278" spans="1:14" ht="15" customHeight="1">
      <c r="A278" s="17" t="s">
        <v>4185</v>
      </c>
      <c r="B278" s="17" t="s">
        <v>224</v>
      </c>
      <c r="C278" s="17" t="s">
        <v>334</v>
      </c>
      <c r="D278" s="17" t="s">
        <v>4186</v>
      </c>
      <c r="E278" s="17" t="s">
        <v>1404</v>
      </c>
      <c r="F278" s="17" t="s">
        <v>3396</v>
      </c>
      <c r="G278" s="17" t="s">
        <v>3397</v>
      </c>
      <c r="H278" s="17" t="s">
        <v>3398</v>
      </c>
      <c r="I278" s="19" t="s">
        <v>95</v>
      </c>
      <c r="J278" s="24"/>
      <c r="K278" s="20" t="str">
        <f t="shared" si="12"/>
        <v/>
      </c>
      <c r="L278" s="20" t="str">
        <f>IF(C278="","",IF(COUNTIF('01_rules'!$A$2:$A$39,C278)=0,"rule 없음",""))</f>
        <v/>
      </c>
      <c r="M278" s="20" t="str">
        <f t="shared" si="13"/>
        <v/>
      </c>
      <c r="N278" s="20" t="str">
        <f t="shared" si="14"/>
        <v/>
      </c>
    </row>
    <row r="279" spans="1:14" ht="23.25" customHeight="1">
      <c r="A279" s="17" t="s">
        <v>4187</v>
      </c>
      <c r="B279" s="17" t="s">
        <v>224</v>
      </c>
      <c r="C279" s="17" t="s">
        <v>310</v>
      </c>
      <c r="D279" s="17" t="s">
        <v>4188</v>
      </c>
      <c r="E279" s="17" t="s">
        <v>1407</v>
      </c>
      <c r="F279" s="17" t="s">
        <v>3397</v>
      </c>
      <c r="G279" s="17" t="s">
        <v>3396</v>
      </c>
      <c r="H279" s="17" t="s">
        <v>3398</v>
      </c>
      <c r="I279" s="19" t="s">
        <v>95</v>
      </c>
      <c r="J279" s="24"/>
      <c r="K279" s="20" t="str">
        <f t="shared" si="12"/>
        <v/>
      </c>
      <c r="L279" s="20" t="str">
        <f>IF(C279="","",IF(COUNTIF('01_rules'!$A$2:$A$39,C279)=0,"rule 없음",""))</f>
        <v/>
      </c>
      <c r="M279" s="20" t="str">
        <f t="shared" si="13"/>
        <v/>
      </c>
      <c r="N279" s="20" t="str">
        <f t="shared" si="14"/>
        <v/>
      </c>
    </row>
    <row r="280" spans="1:14" ht="15" customHeight="1">
      <c r="A280" s="17" t="s">
        <v>4189</v>
      </c>
      <c r="B280" s="17" t="s">
        <v>224</v>
      </c>
      <c r="C280" s="17" t="s">
        <v>229</v>
      </c>
      <c r="D280" s="17" t="s">
        <v>4190</v>
      </c>
      <c r="E280" s="17" t="s">
        <v>1410</v>
      </c>
      <c r="F280" s="17" t="s">
        <v>4191</v>
      </c>
      <c r="G280" s="17" t="s">
        <v>4192</v>
      </c>
      <c r="H280" s="17" t="s">
        <v>3343</v>
      </c>
      <c r="I280" s="19" t="s">
        <v>95</v>
      </c>
      <c r="J280" s="24"/>
      <c r="K280" s="20" t="str">
        <f t="shared" si="12"/>
        <v/>
      </c>
      <c r="L280" s="20" t="str">
        <f>IF(C280="","",IF(COUNTIF('01_rules'!$A$2:$A$39,C280)=0,"rule 없음",""))</f>
        <v/>
      </c>
      <c r="M280" s="20" t="str">
        <f t="shared" si="13"/>
        <v/>
      </c>
      <c r="N280" s="20" t="str">
        <f t="shared" si="14"/>
        <v/>
      </c>
    </row>
    <row r="281" spans="1:14" ht="15" customHeight="1">
      <c r="A281" s="17" t="s">
        <v>4193</v>
      </c>
      <c r="B281" s="17" t="s">
        <v>224</v>
      </c>
      <c r="C281" s="17" t="s">
        <v>87</v>
      </c>
      <c r="D281" s="17" t="s">
        <v>4194</v>
      </c>
      <c r="E281" s="17" t="s">
        <v>1413</v>
      </c>
      <c r="F281" s="17" t="s">
        <v>4195</v>
      </c>
      <c r="G281" s="17" t="s">
        <v>4196</v>
      </c>
      <c r="H281" s="17" t="s">
        <v>3343</v>
      </c>
      <c r="I281" s="19" t="s">
        <v>95</v>
      </c>
      <c r="J281" s="24"/>
      <c r="K281" s="20" t="str">
        <f t="shared" si="12"/>
        <v/>
      </c>
      <c r="L281" s="20" t="str">
        <f>IF(C281="","",IF(COUNTIF('01_rules'!$A$2:$A$39,C281)=0,"rule 없음",""))</f>
        <v/>
      </c>
      <c r="M281" s="20" t="str">
        <f t="shared" si="13"/>
        <v/>
      </c>
      <c r="N281" s="20" t="str">
        <f t="shared" si="14"/>
        <v/>
      </c>
    </row>
    <row r="282" spans="1:14" ht="15" customHeight="1">
      <c r="A282" s="17" t="s">
        <v>4197</v>
      </c>
      <c r="B282" s="17" t="s">
        <v>237</v>
      </c>
      <c r="C282" s="17" t="s">
        <v>235</v>
      </c>
      <c r="D282" s="17" t="s">
        <v>4198</v>
      </c>
      <c r="E282" s="17" t="s">
        <v>1416</v>
      </c>
      <c r="F282" s="17" t="s">
        <v>4199</v>
      </c>
      <c r="G282" s="17" t="s">
        <v>2868</v>
      </c>
      <c r="H282" s="17" t="s">
        <v>4200</v>
      </c>
      <c r="I282" s="19" t="s">
        <v>95</v>
      </c>
      <c r="J282" s="24"/>
      <c r="K282" s="20" t="str">
        <f t="shared" si="12"/>
        <v/>
      </c>
      <c r="L282" s="20" t="str">
        <f>IF(C282="","",IF(COUNTIF('01_rules'!$A$2:$A$39,C282)=0,"rule 없음",""))</f>
        <v/>
      </c>
      <c r="M282" s="20" t="str">
        <f t="shared" si="13"/>
        <v/>
      </c>
      <c r="N282" s="20" t="str">
        <f t="shared" si="14"/>
        <v/>
      </c>
    </row>
    <row r="283" spans="1:14" ht="15" customHeight="1">
      <c r="A283" s="17" t="s">
        <v>4201</v>
      </c>
      <c r="B283" s="17" t="s">
        <v>237</v>
      </c>
      <c r="C283" s="17" t="s">
        <v>235</v>
      </c>
      <c r="D283" s="17" t="s">
        <v>4202</v>
      </c>
      <c r="E283" s="17" t="s">
        <v>1419</v>
      </c>
      <c r="F283" s="17" t="s">
        <v>4203</v>
      </c>
      <c r="G283" s="17" t="s">
        <v>2871</v>
      </c>
      <c r="H283" s="17" t="s">
        <v>4204</v>
      </c>
      <c r="I283" s="19" t="s">
        <v>95</v>
      </c>
      <c r="J283" s="24"/>
      <c r="K283" s="20" t="str">
        <f t="shared" si="12"/>
        <v/>
      </c>
      <c r="L283" s="20" t="str">
        <f>IF(C283="","",IF(COUNTIF('01_rules'!$A$2:$A$39,C283)=0,"rule 없음",""))</f>
        <v/>
      </c>
      <c r="M283" s="20" t="str">
        <f t="shared" si="13"/>
        <v/>
      </c>
      <c r="N283" s="20" t="str">
        <f t="shared" si="14"/>
        <v/>
      </c>
    </row>
    <row r="284" spans="1:14" ht="15" customHeight="1">
      <c r="A284" s="17" t="s">
        <v>4205</v>
      </c>
      <c r="B284" s="17" t="s">
        <v>237</v>
      </c>
      <c r="C284" s="17" t="s">
        <v>235</v>
      </c>
      <c r="D284" s="17" t="s">
        <v>4206</v>
      </c>
      <c r="E284" s="17" t="s">
        <v>1422</v>
      </c>
      <c r="F284" s="17" t="s">
        <v>4207</v>
      </c>
      <c r="G284" s="17" t="s">
        <v>2875</v>
      </c>
      <c r="H284" s="17" t="s">
        <v>4208</v>
      </c>
      <c r="I284" s="19" t="s">
        <v>95</v>
      </c>
      <c r="J284" s="24"/>
      <c r="K284" s="20" t="str">
        <f t="shared" si="12"/>
        <v/>
      </c>
      <c r="L284" s="20" t="str">
        <f>IF(C284="","",IF(COUNTIF('01_rules'!$A$2:$A$39,C284)=0,"rule 없음",""))</f>
        <v/>
      </c>
      <c r="M284" s="20" t="str">
        <f t="shared" si="13"/>
        <v/>
      </c>
      <c r="N284" s="20" t="str">
        <f t="shared" si="14"/>
        <v/>
      </c>
    </row>
    <row r="285" spans="1:14" ht="15" customHeight="1">
      <c r="A285" s="17" t="s">
        <v>4209</v>
      </c>
      <c r="B285" s="17" t="s">
        <v>237</v>
      </c>
      <c r="C285" s="17" t="s">
        <v>235</v>
      </c>
      <c r="D285" s="17" t="s">
        <v>4210</v>
      </c>
      <c r="E285" s="17" t="s">
        <v>1425</v>
      </c>
      <c r="F285" s="17" t="s">
        <v>4211</v>
      </c>
      <c r="G285" s="17" t="s">
        <v>2879</v>
      </c>
      <c r="H285" s="17" t="s">
        <v>4212</v>
      </c>
      <c r="I285" s="19" t="s">
        <v>95</v>
      </c>
      <c r="J285" s="24"/>
      <c r="K285" s="20" t="str">
        <f t="shared" si="12"/>
        <v/>
      </c>
      <c r="L285" s="20" t="str">
        <f>IF(C285="","",IF(COUNTIF('01_rules'!$A$2:$A$39,C285)=0,"rule 없음",""))</f>
        <v/>
      </c>
      <c r="M285" s="20" t="str">
        <f t="shared" si="13"/>
        <v/>
      </c>
      <c r="N285" s="20" t="str">
        <f t="shared" si="14"/>
        <v/>
      </c>
    </row>
    <row r="286" spans="1:14" ht="15" customHeight="1">
      <c r="A286" s="17" t="s">
        <v>4213</v>
      </c>
      <c r="B286" s="17" t="s">
        <v>237</v>
      </c>
      <c r="C286" s="17" t="s">
        <v>235</v>
      </c>
      <c r="D286" s="17" t="s">
        <v>4214</v>
      </c>
      <c r="E286" s="17" t="s">
        <v>1428</v>
      </c>
      <c r="F286" s="17" t="s">
        <v>4215</v>
      </c>
      <c r="G286" s="17" t="s">
        <v>2883</v>
      </c>
      <c r="H286" s="17" t="s">
        <v>4216</v>
      </c>
      <c r="I286" s="19" t="s">
        <v>95</v>
      </c>
      <c r="J286" s="24"/>
      <c r="K286" s="20" t="str">
        <f t="shared" si="12"/>
        <v/>
      </c>
      <c r="L286" s="20" t="str">
        <f>IF(C286="","",IF(COUNTIF('01_rules'!$A$2:$A$39,C286)=0,"rule 없음",""))</f>
        <v/>
      </c>
      <c r="M286" s="20" t="str">
        <f t="shared" si="13"/>
        <v/>
      </c>
      <c r="N286" s="20" t="str">
        <f t="shared" si="14"/>
        <v/>
      </c>
    </row>
    <row r="287" spans="1:14" ht="15" customHeight="1">
      <c r="A287" s="17" t="s">
        <v>4217</v>
      </c>
      <c r="B287" s="17" t="s">
        <v>237</v>
      </c>
      <c r="C287" s="17" t="s">
        <v>235</v>
      </c>
      <c r="D287" s="17" t="s">
        <v>4218</v>
      </c>
      <c r="E287" s="17" t="s">
        <v>1431</v>
      </c>
      <c r="F287" s="17" t="s">
        <v>4219</v>
      </c>
      <c r="G287" s="17" t="s">
        <v>2887</v>
      </c>
      <c r="H287" s="17" t="s">
        <v>4220</v>
      </c>
      <c r="I287" s="19" t="s">
        <v>95</v>
      </c>
      <c r="J287" s="24"/>
      <c r="K287" s="20" t="str">
        <f t="shared" si="12"/>
        <v/>
      </c>
      <c r="L287" s="20" t="str">
        <f>IF(C287="","",IF(COUNTIF('01_rules'!$A$2:$A$39,C287)=0,"rule 없음",""))</f>
        <v/>
      </c>
      <c r="M287" s="20" t="str">
        <f t="shared" si="13"/>
        <v/>
      </c>
      <c r="N287" s="20" t="str">
        <f t="shared" si="14"/>
        <v/>
      </c>
    </row>
    <row r="288" spans="1:14" ht="23.25" customHeight="1">
      <c r="A288" s="17" t="s">
        <v>4221</v>
      </c>
      <c r="B288" s="17" t="s">
        <v>237</v>
      </c>
      <c r="C288" s="17" t="s">
        <v>235</v>
      </c>
      <c r="D288" s="17" t="s">
        <v>4222</v>
      </c>
      <c r="E288" s="17" t="s">
        <v>1434</v>
      </c>
      <c r="F288" s="17" t="s">
        <v>4223</v>
      </c>
      <c r="G288" s="17" t="s">
        <v>2891</v>
      </c>
      <c r="H288" s="17" t="s">
        <v>4224</v>
      </c>
      <c r="I288" s="19" t="s">
        <v>95</v>
      </c>
      <c r="J288" s="24"/>
      <c r="K288" s="20" t="str">
        <f t="shared" si="12"/>
        <v/>
      </c>
      <c r="L288" s="20" t="str">
        <f>IF(C288="","",IF(COUNTIF('01_rules'!$A$2:$A$39,C288)=0,"rule 없음",""))</f>
        <v/>
      </c>
      <c r="M288" s="20" t="str">
        <f t="shared" si="13"/>
        <v/>
      </c>
      <c r="N288" s="20" t="str">
        <f t="shared" si="14"/>
        <v/>
      </c>
    </row>
    <row r="289" spans="1:14" ht="23.25" customHeight="1">
      <c r="A289" s="17" t="s">
        <v>4225</v>
      </c>
      <c r="B289" s="17" t="s">
        <v>237</v>
      </c>
      <c r="C289" s="17" t="s">
        <v>235</v>
      </c>
      <c r="D289" s="17" t="s">
        <v>4226</v>
      </c>
      <c r="E289" s="17" t="s">
        <v>1437</v>
      </c>
      <c r="F289" s="17" t="s">
        <v>4227</v>
      </c>
      <c r="G289" s="17" t="s">
        <v>2895</v>
      </c>
      <c r="H289" s="17" t="s">
        <v>4228</v>
      </c>
      <c r="I289" s="19" t="s">
        <v>95</v>
      </c>
      <c r="J289" s="24"/>
      <c r="K289" s="20" t="str">
        <f t="shared" si="12"/>
        <v/>
      </c>
      <c r="L289" s="20" t="str">
        <f>IF(C289="","",IF(COUNTIF('01_rules'!$A$2:$A$39,C289)=0,"rule 없음",""))</f>
        <v/>
      </c>
      <c r="M289" s="20" t="str">
        <f t="shared" si="13"/>
        <v/>
      </c>
      <c r="N289" s="20" t="str">
        <f t="shared" si="14"/>
        <v/>
      </c>
    </row>
    <row r="290" spans="1:14" ht="15" customHeight="1">
      <c r="A290" s="17" t="s">
        <v>4229</v>
      </c>
      <c r="B290" s="17" t="s">
        <v>237</v>
      </c>
      <c r="C290" s="17" t="s">
        <v>235</v>
      </c>
      <c r="D290" s="17" t="s">
        <v>4230</v>
      </c>
      <c r="E290" s="17" t="s">
        <v>1440</v>
      </c>
      <c r="F290" s="17" t="s">
        <v>4231</v>
      </c>
      <c r="G290" s="17" t="s">
        <v>2898</v>
      </c>
      <c r="H290" s="17" t="s">
        <v>4232</v>
      </c>
      <c r="I290" s="19" t="s">
        <v>95</v>
      </c>
      <c r="J290" s="24"/>
      <c r="K290" s="20" t="str">
        <f t="shared" si="12"/>
        <v/>
      </c>
      <c r="L290" s="20" t="str">
        <f>IF(C290="","",IF(COUNTIF('01_rules'!$A$2:$A$39,C290)=0,"rule 없음",""))</f>
        <v/>
      </c>
      <c r="M290" s="20" t="str">
        <f t="shared" si="13"/>
        <v/>
      </c>
      <c r="N290" s="20" t="str">
        <f t="shared" si="14"/>
        <v/>
      </c>
    </row>
    <row r="291" spans="1:14" ht="15" customHeight="1">
      <c r="A291" s="17" t="s">
        <v>4233</v>
      </c>
      <c r="B291" s="17" t="s">
        <v>237</v>
      </c>
      <c r="C291" s="17" t="s">
        <v>235</v>
      </c>
      <c r="D291" s="17" t="s">
        <v>4234</v>
      </c>
      <c r="E291" s="17" t="s">
        <v>1443</v>
      </c>
      <c r="F291" s="17" t="s">
        <v>4235</v>
      </c>
      <c r="G291" s="17" t="s">
        <v>2902</v>
      </c>
      <c r="H291" s="17" t="s">
        <v>4236</v>
      </c>
      <c r="I291" s="19" t="s">
        <v>95</v>
      </c>
      <c r="J291" s="24"/>
      <c r="K291" s="20" t="str">
        <f t="shared" si="12"/>
        <v/>
      </c>
      <c r="L291" s="20" t="str">
        <f>IF(C291="","",IF(COUNTIF('01_rules'!$A$2:$A$39,C291)=0,"rule 없음",""))</f>
        <v/>
      </c>
      <c r="M291" s="20" t="str">
        <f t="shared" si="13"/>
        <v/>
      </c>
      <c r="N291" s="20" t="str">
        <f t="shared" si="14"/>
        <v/>
      </c>
    </row>
    <row r="292" spans="1:14" ht="15" customHeight="1">
      <c r="A292" s="17" t="s">
        <v>4237</v>
      </c>
      <c r="B292" s="17" t="s">
        <v>237</v>
      </c>
      <c r="C292" s="17" t="s">
        <v>141</v>
      </c>
      <c r="D292" s="17" t="s">
        <v>4238</v>
      </c>
      <c r="E292" s="17" t="s">
        <v>1446</v>
      </c>
      <c r="F292" s="17" t="s">
        <v>3593</v>
      </c>
      <c r="G292" s="17" t="s">
        <v>3594</v>
      </c>
      <c r="H292" s="17" t="s">
        <v>3595</v>
      </c>
      <c r="I292" s="19" t="s">
        <v>95</v>
      </c>
      <c r="J292" s="24"/>
      <c r="K292" s="20" t="str">
        <f t="shared" si="12"/>
        <v/>
      </c>
      <c r="L292" s="20" t="str">
        <f>IF(C292="","",IF(COUNTIF('01_rules'!$A$2:$A$39,C292)=0,"rule 없음",""))</f>
        <v/>
      </c>
      <c r="M292" s="20" t="str">
        <f t="shared" si="13"/>
        <v/>
      </c>
      <c r="N292" s="20" t="str">
        <f t="shared" si="14"/>
        <v/>
      </c>
    </row>
    <row r="293" spans="1:14" ht="15" customHeight="1">
      <c r="A293" s="17" t="s">
        <v>4239</v>
      </c>
      <c r="B293" s="17" t="s">
        <v>237</v>
      </c>
      <c r="C293" s="17" t="s">
        <v>334</v>
      </c>
      <c r="D293" s="17" t="s">
        <v>4240</v>
      </c>
      <c r="E293" s="17" t="s">
        <v>1449</v>
      </c>
      <c r="F293" s="17" t="s">
        <v>3396</v>
      </c>
      <c r="G293" s="17" t="s">
        <v>3397</v>
      </c>
      <c r="H293" s="17" t="s">
        <v>3398</v>
      </c>
      <c r="I293" s="19" t="s">
        <v>95</v>
      </c>
      <c r="J293" s="24"/>
      <c r="K293" s="20" t="str">
        <f t="shared" si="12"/>
        <v/>
      </c>
      <c r="L293" s="20" t="str">
        <f>IF(C293="","",IF(COUNTIF('01_rules'!$A$2:$A$39,C293)=0,"rule 없음",""))</f>
        <v/>
      </c>
      <c r="M293" s="20" t="str">
        <f t="shared" si="13"/>
        <v/>
      </c>
      <c r="N293" s="20" t="str">
        <f t="shared" si="14"/>
        <v/>
      </c>
    </row>
    <row r="294" spans="1:14" ht="15" customHeight="1">
      <c r="A294" s="17" t="s">
        <v>4241</v>
      </c>
      <c r="B294" s="17" t="s">
        <v>237</v>
      </c>
      <c r="C294" s="17" t="s">
        <v>334</v>
      </c>
      <c r="D294" s="17" t="s">
        <v>4242</v>
      </c>
      <c r="E294" s="17" t="s">
        <v>1452</v>
      </c>
      <c r="F294" s="17" t="s">
        <v>3396</v>
      </c>
      <c r="G294" s="17" t="s">
        <v>3397</v>
      </c>
      <c r="H294" s="17" t="s">
        <v>3398</v>
      </c>
      <c r="I294" s="19" t="s">
        <v>95</v>
      </c>
      <c r="J294" s="24"/>
      <c r="K294" s="20" t="str">
        <f t="shared" si="12"/>
        <v/>
      </c>
      <c r="L294" s="20" t="str">
        <f>IF(C294="","",IF(COUNTIF('01_rules'!$A$2:$A$39,C294)=0,"rule 없음",""))</f>
        <v/>
      </c>
      <c r="M294" s="20" t="str">
        <f t="shared" si="13"/>
        <v/>
      </c>
      <c r="N294" s="20" t="str">
        <f t="shared" si="14"/>
        <v/>
      </c>
    </row>
    <row r="295" spans="1:14" ht="15" customHeight="1">
      <c r="A295" s="17" t="s">
        <v>4243</v>
      </c>
      <c r="B295" s="17" t="s">
        <v>237</v>
      </c>
      <c r="C295" s="17" t="s">
        <v>334</v>
      </c>
      <c r="D295" s="17" t="s">
        <v>4244</v>
      </c>
      <c r="E295" s="17" t="s">
        <v>1455</v>
      </c>
      <c r="F295" s="17" t="s">
        <v>3396</v>
      </c>
      <c r="G295" s="17" t="s">
        <v>3397</v>
      </c>
      <c r="H295" s="17" t="s">
        <v>3398</v>
      </c>
      <c r="I295" s="19" t="s">
        <v>95</v>
      </c>
      <c r="J295" s="24"/>
      <c r="K295" s="20" t="str">
        <f t="shared" si="12"/>
        <v/>
      </c>
      <c r="L295" s="20" t="str">
        <f>IF(C295="","",IF(COUNTIF('01_rules'!$A$2:$A$39,C295)=0,"rule 없음",""))</f>
        <v/>
      </c>
      <c r="M295" s="20" t="str">
        <f t="shared" si="13"/>
        <v/>
      </c>
      <c r="N295" s="20" t="str">
        <f t="shared" si="14"/>
        <v/>
      </c>
    </row>
    <row r="296" spans="1:14" ht="15" customHeight="1">
      <c r="A296" s="17" t="s">
        <v>4245</v>
      </c>
      <c r="B296" s="17" t="s">
        <v>237</v>
      </c>
      <c r="C296" s="17" t="s">
        <v>334</v>
      </c>
      <c r="D296" s="17" t="s">
        <v>4246</v>
      </c>
      <c r="E296" s="17" t="s">
        <v>1458</v>
      </c>
      <c r="F296" s="17" t="s">
        <v>3396</v>
      </c>
      <c r="G296" s="17" t="s">
        <v>3397</v>
      </c>
      <c r="H296" s="17" t="s">
        <v>3398</v>
      </c>
      <c r="I296" s="19" t="s">
        <v>95</v>
      </c>
      <c r="J296" s="24"/>
      <c r="K296" s="20" t="str">
        <f t="shared" si="12"/>
        <v/>
      </c>
      <c r="L296" s="20" t="str">
        <f>IF(C296="","",IF(COUNTIF('01_rules'!$A$2:$A$39,C296)=0,"rule 없음",""))</f>
        <v/>
      </c>
      <c r="M296" s="20" t="str">
        <f t="shared" si="13"/>
        <v/>
      </c>
      <c r="N296" s="20" t="str">
        <f t="shared" si="14"/>
        <v/>
      </c>
    </row>
    <row r="297" spans="1:14" ht="15" customHeight="1">
      <c r="A297" s="17" t="s">
        <v>4247</v>
      </c>
      <c r="B297" s="17" t="s">
        <v>237</v>
      </c>
      <c r="C297" s="17" t="s">
        <v>334</v>
      </c>
      <c r="D297" s="17" t="s">
        <v>4248</v>
      </c>
      <c r="E297" s="17" t="s">
        <v>1461</v>
      </c>
      <c r="F297" s="17" t="s">
        <v>3396</v>
      </c>
      <c r="G297" s="17" t="s">
        <v>3397</v>
      </c>
      <c r="H297" s="17" t="s">
        <v>3398</v>
      </c>
      <c r="I297" s="19" t="s">
        <v>95</v>
      </c>
      <c r="J297" s="24"/>
      <c r="K297" s="20" t="str">
        <f t="shared" si="12"/>
        <v/>
      </c>
      <c r="L297" s="20" t="str">
        <f>IF(C297="","",IF(COUNTIF('01_rules'!$A$2:$A$39,C297)=0,"rule 없음",""))</f>
        <v/>
      </c>
      <c r="M297" s="20" t="str">
        <f t="shared" si="13"/>
        <v/>
      </c>
      <c r="N297" s="20" t="str">
        <f t="shared" si="14"/>
        <v/>
      </c>
    </row>
    <row r="298" spans="1:14" ht="15" customHeight="1">
      <c r="A298" s="17" t="s">
        <v>4249</v>
      </c>
      <c r="B298" s="17" t="s">
        <v>237</v>
      </c>
      <c r="C298" s="17" t="s">
        <v>141</v>
      </c>
      <c r="D298" s="17" t="s">
        <v>4250</v>
      </c>
      <c r="E298" s="17" t="s">
        <v>1464</v>
      </c>
      <c r="F298" s="17" t="s">
        <v>3593</v>
      </c>
      <c r="G298" s="17" t="s">
        <v>3594</v>
      </c>
      <c r="H298" s="17" t="s">
        <v>3595</v>
      </c>
      <c r="I298" s="19" t="s">
        <v>95</v>
      </c>
      <c r="J298" s="24"/>
      <c r="K298" s="20" t="str">
        <f t="shared" si="12"/>
        <v/>
      </c>
      <c r="L298" s="20" t="str">
        <f>IF(C298="","",IF(COUNTIF('01_rules'!$A$2:$A$39,C298)=0,"rule 없음",""))</f>
        <v/>
      </c>
      <c r="M298" s="20" t="str">
        <f t="shared" si="13"/>
        <v/>
      </c>
      <c r="N298" s="20" t="str">
        <f t="shared" si="14"/>
        <v/>
      </c>
    </row>
    <row r="299" spans="1:14" ht="23.25" customHeight="1">
      <c r="A299" s="17" t="s">
        <v>4251</v>
      </c>
      <c r="B299" s="17" t="s">
        <v>237</v>
      </c>
      <c r="C299" s="17" t="s">
        <v>334</v>
      </c>
      <c r="D299" s="17" t="s">
        <v>4252</v>
      </c>
      <c r="E299" s="17" t="s">
        <v>1467</v>
      </c>
      <c r="F299" s="17" t="s">
        <v>3396</v>
      </c>
      <c r="G299" s="17" t="s">
        <v>3397</v>
      </c>
      <c r="H299" s="17" t="s">
        <v>3398</v>
      </c>
      <c r="I299" s="19" t="s">
        <v>95</v>
      </c>
      <c r="J299" s="24"/>
      <c r="K299" s="20" t="str">
        <f t="shared" si="12"/>
        <v/>
      </c>
      <c r="L299" s="20" t="str">
        <f>IF(C299="","",IF(COUNTIF('01_rules'!$A$2:$A$39,C299)=0,"rule 없음",""))</f>
        <v/>
      </c>
      <c r="M299" s="20" t="str">
        <f t="shared" si="13"/>
        <v/>
      </c>
      <c r="N299" s="20" t="str">
        <f t="shared" si="14"/>
        <v/>
      </c>
    </row>
    <row r="300" spans="1:14" ht="15" customHeight="1">
      <c r="A300" s="17" t="s">
        <v>4253</v>
      </c>
      <c r="B300" s="17" t="s">
        <v>237</v>
      </c>
      <c r="C300" s="17" t="s">
        <v>334</v>
      </c>
      <c r="D300" s="17" t="s">
        <v>4254</v>
      </c>
      <c r="E300" s="17" t="s">
        <v>1470</v>
      </c>
      <c r="F300" s="17" t="s">
        <v>3396</v>
      </c>
      <c r="G300" s="17" t="s">
        <v>3397</v>
      </c>
      <c r="H300" s="17" t="s">
        <v>3398</v>
      </c>
      <c r="I300" s="19" t="s">
        <v>95</v>
      </c>
      <c r="J300" s="24"/>
      <c r="K300" s="20" t="str">
        <f t="shared" si="12"/>
        <v/>
      </c>
      <c r="L300" s="20" t="str">
        <f>IF(C300="","",IF(COUNTIF('01_rules'!$A$2:$A$39,C300)=0,"rule 없음",""))</f>
        <v/>
      </c>
      <c r="M300" s="20" t="str">
        <f t="shared" si="13"/>
        <v/>
      </c>
      <c r="N300" s="20" t="str">
        <f t="shared" si="14"/>
        <v/>
      </c>
    </row>
    <row r="301" spans="1:14" ht="15" customHeight="1">
      <c r="A301" s="17" t="s">
        <v>4255</v>
      </c>
      <c r="B301" s="17" t="s">
        <v>237</v>
      </c>
      <c r="C301" s="17" t="s">
        <v>297</v>
      </c>
      <c r="D301" s="17" t="s">
        <v>4256</v>
      </c>
      <c r="E301" s="17" t="s">
        <v>1473</v>
      </c>
      <c r="F301" s="17" t="s">
        <v>2942</v>
      </c>
      <c r="G301" s="17" t="s">
        <v>4257</v>
      </c>
      <c r="H301" s="17" t="s">
        <v>4258</v>
      </c>
      <c r="I301" s="19" t="s">
        <v>95</v>
      </c>
      <c r="J301" s="24"/>
      <c r="K301" s="20" t="str">
        <f t="shared" si="12"/>
        <v/>
      </c>
      <c r="L301" s="20" t="str">
        <f>IF(C301="","",IF(COUNTIF('01_rules'!$A$2:$A$39,C301)=0,"rule 없음",""))</f>
        <v/>
      </c>
      <c r="M301" s="20" t="str">
        <f t="shared" si="13"/>
        <v/>
      </c>
      <c r="N301" s="20" t="str">
        <f t="shared" si="14"/>
        <v/>
      </c>
    </row>
    <row r="302" spans="1:14" ht="15" customHeight="1">
      <c r="A302" s="17" t="s">
        <v>4259</v>
      </c>
      <c r="B302" s="17" t="s">
        <v>244</v>
      </c>
      <c r="C302" s="17" t="s">
        <v>334</v>
      </c>
      <c r="D302" s="17" t="s">
        <v>4260</v>
      </c>
      <c r="E302" s="17" t="s">
        <v>1476</v>
      </c>
      <c r="F302" s="17" t="s">
        <v>4261</v>
      </c>
      <c r="G302" s="17" t="s">
        <v>4262</v>
      </c>
      <c r="H302" s="17" t="s">
        <v>4263</v>
      </c>
      <c r="I302" s="19" t="s">
        <v>95</v>
      </c>
      <c r="J302" s="24"/>
      <c r="K302" s="20" t="str">
        <f t="shared" si="12"/>
        <v/>
      </c>
      <c r="L302" s="20" t="str">
        <f>IF(C302="","",IF(COUNTIF('01_rules'!$A$2:$A$39,C302)=0,"rule 없음",""))</f>
        <v/>
      </c>
      <c r="M302" s="20" t="str">
        <f t="shared" si="13"/>
        <v/>
      </c>
      <c r="N302" s="20" t="str">
        <f t="shared" si="14"/>
        <v/>
      </c>
    </row>
    <row r="303" spans="1:14" ht="15" customHeight="1">
      <c r="A303" s="17" t="s">
        <v>4264</v>
      </c>
      <c r="B303" s="17" t="s">
        <v>244</v>
      </c>
      <c r="C303" s="17" t="s">
        <v>242</v>
      </c>
      <c r="D303" s="17" t="s">
        <v>248</v>
      </c>
      <c r="E303" s="17" t="s">
        <v>1479</v>
      </c>
      <c r="F303" s="17" t="s">
        <v>2948</v>
      </c>
      <c r="G303" s="17" t="s">
        <v>4265</v>
      </c>
      <c r="H303" s="17" t="s">
        <v>4266</v>
      </c>
      <c r="I303" s="19" t="s">
        <v>95</v>
      </c>
      <c r="J303" s="24"/>
      <c r="K303" s="20" t="str">
        <f t="shared" si="12"/>
        <v/>
      </c>
      <c r="L303" s="20" t="str">
        <f>IF(C303="","",IF(COUNTIF('01_rules'!$A$2:$A$39,C303)=0,"rule 없음",""))</f>
        <v/>
      </c>
      <c r="M303" s="20" t="str">
        <f t="shared" si="13"/>
        <v/>
      </c>
      <c r="N303" s="20" t="str">
        <f t="shared" si="14"/>
        <v/>
      </c>
    </row>
    <row r="304" spans="1:14" ht="15" customHeight="1">
      <c r="A304" s="17" t="s">
        <v>4267</v>
      </c>
      <c r="B304" s="17" t="s">
        <v>244</v>
      </c>
      <c r="C304" s="17" t="s">
        <v>242</v>
      </c>
      <c r="D304" s="17" t="s">
        <v>4268</v>
      </c>
      <c r="E304" s="17" t="s">
        <v>1482</v>
      </c>
      <c r="F304" s="17" t="s">
        <v>2952</v>
      </c>
      <c r="G304" s="17" t="s">
        <v>4269</v>
      </c>
      <c r="H304" s="17" t="s">
        <v>4270</v>
      </c>
      <c r="I304" s="19" t="s">
        <v>95</v>
      </c>
      <c r="J304" s="24"/>
      <c r="K304" s="20" t="str">
        <f t="shared" si="12"/>
        <v/>
      </c>
      <c r="L304" s="20" t="str">
        <f>IF(C304="","",IF(COUNTIF('01_rules'!$A$2:$A$39,C304)=0,"rule 없음",""))</f>
        <v/>
      </c>
      <c r="M304" s="20" t="str">
        <f t="shared" si="13"/>
        <v/>
      </c>
      <c r="N304" s="20" t="str">
        <f t="shared" si="14"/>
        <v/>
      </c>
    </row>
    <row r="305" spans="1:14" ht="15" customHeight="1">
      <c r="A305" s="17" t="s">
        <v>4271</v>
      </c>
      <c r="B305" s="17" t="s">
        <v>244</v>
      </c>
      <c r="C305" s="17" t="s">
        <v>242</v>
      </c>
      <c r="D305" s="17" t="s">
        <v>4272</v>
      </c>
      <c r="E305" s="17" t="s">
        <v>1485</v>
      </c>
      <c r="F305" s="17" t="s">
        <v>2956</v>
      </c>
      <c r="G305" s="17" t="s">
        <v>4273</v>
      </c>
      <c r="H305" s="17" t="s">
        <v>4274</v>
      </c>
      <c r="I305" s="19" t="s">
        <v>95</v>
      </c>
      <c r="J305" s="24"/>
      <c r="K305" s="20" t="str">
        <f t="shared" si="12"/>
        <v/>
      </c>
      <c r="L305" s="20" t="str">
        <f>IF(C305="","",IF(COUNTIF('01_rules'!$A$2:$A$39,C305)=0,"rule 없음",""))</f>
        <v/>
      </c>
      <c r="M305" s="20" t="str">
        <f t="shared" si="13"/>
        <v/>
      </c>
      <c r="N305" s="20" t="str">
        <f t="shared" si="14"/>
        <v/>
      </c>
    </row>
    <row r="306" spans="1:14" ht="23.25" customHeight="1">
      <c r="A306" s="17" t="s">
        <v>4275</v>
      </c>
      <c r="B306" s="17" t="s">
        <v>244</v>
      </c>
      <c r="C306" s="17" t="s">
        <v>242</v>
      </c>
      <c r="D306" s="17" t="s">
        <v>4276</v>
      </c>
      <c r="E306" s="17" t="s">
        <v>1488</v>
      </c>
      <c r="F306" s="17" t="s">
        <v>2960</v>
      </c>
      <c r="G306" s="17" t="s">
        <v>4277</v>
      </c>
      <c r="H306" s="17" t="s">
        <v>4278</v>
      </c>
      <c r="I306" s="19" t="s">
        <v>95</v>
      </c>
      <c r="J306" s="24"/>
      <c r="K306" s="20" t="str">
        <f t="shared" si="12"/>
        <v/>
      </c>
      <c r="L306" s="20" t="str">
        <f>IF(C306="","",IF(COUNTIF('01_rules'!$A$2:$A$39,C306)=0,"rule 없음",""))</f>
        <v/>
      </c>
      <c r="M306" s="20" t="str">
        <f t="shared" si="13"/>
        <v/>
      </c>
      <c r="N306" s="20" t="str">
        <f t="shared" si="14"/>
        <v/>
      </c>
    </row>
    <row r="307" spans="1:14" ht="15" customHeight="1">
      <c r="A307" s="17" t="s">
        <v>4279</v>
      </c>
      <c r="B307" s="17" t="s">
        <v>244</v>
      </c>
      <c r="C307" s="17" t="s">
        <v>242</v>
      </c>
      <c r="D307" s="17" t="s">
        <v>4280</v>
      </c>
      <c r="E307" s="17" t="s">
        <v>1491</v>
      </c>
      <c r="F307" s="17" t="s">
        <v>2964</v>
      </c>
      <c r="G307" s="17" t="s">
        <v>4281</v>
      </c>
      <c r="H307" s="17" t="s">
        <v>4282</v>
      </c>
      <c r="I307" s="19" t="s">
        <v>95</v>
      </c>
      <c r="J307" s="24"/>
      <c r="K307" s="20" t="str">
        <f t="shared" si="12"/>
        <v/>
      </c>
      <c r="L307" s="20" t="str">
        <f>IF(C307="","",IF(COUNTIF('01_rules'!$A$2:$A$39,C307)=0,"rule 없음",""))</f>
        <v/>
      </c>
      <c r="M307" s="20" t="str">
        <f t="shared" si="13"/>
        <v/>
      </c>
      <c r="N307" s="20" t="str">
        <f t="shared" si="14"/>
        <v/>
      </c>
    </row>
    <row r="308" spans="1:14" ht="15" customHeight="1">
      <c r="A308" s="17" t="s">
        <v>4283</v>
      </c>
      <c r="B308" s="17" t="s">
        <v>244</v>
      </c>
      <c r="C308" s="17" t="s">
        <v>242</v>
      </c>
      <c r="D308" s="17" t="s">
        <v>4284</v>
      </c>
      <c r="E308" s="17" t="s">
        <v>1494</v>
      </c>
      <c r="F308" s="17" t="s">
        <v>2968</v>
      </c>
      <c r="G308" s="17" t="s">
        <v>4285</v>
      </c>
      <c r="H308" s="17" t="s">
        <v>4286</v>
      </c>
      <c r="I308" s="19" t="s">
        <v>95</v>
      </c>
      <c r="J308" s="24"/>
      <c r="K308" s="20" t="str">
        <f t="shared" si="12"/>
        <v/>
      </c>
      <c r="L308" s="20" t="str">
        <f>IF(C308="","",IF(COUNTIF('01_rules'!$A$2:$A$39,C308)=0,"rule 없음",""))</f>
        <v/>
      </c>
      <c r="M308" s="20" t="str">
        <f t="shared" si="13"/>
        <v/>
      </c>
      <c r="N308" s="20" t="str">
        <f t="shared" si="14"/>
        <v/>
      </c>
    </row>
    <row r="309" spans="1:14" ht="23.25" customHeight="1">
      <c r="A309" s="17" t="s">
        <v>4287</v>
      </c>
      <c r="B309" s="17" t="s">
        <v>244</v>
      </c>
      <c r="C309" s="17" t="s">
        <v>242</v>
      </c>
      <c r="D309" s="17" t="s">
        <v>4288</v>
      </c>
      <c r="E309" s="17" t="s">
        <v>1497</v>
      </c>
      <c r="F309" s="17" t="s">
        <v>2972</v>
      </c>
      <c r="G309" s="17" t="s">
        <v>4289</v>
      </c>
      <c r="H309" s="17" t="s">
        <v>4290</v>
      </c>
      <c r="I309" s="19" t="s">
        <v>95</v>
      </c>
      <c r="J309" s="24"/>
      <c r="K309" s="20" t="str">
        <f t="shared" si="12"/>
        <v/>
      </c>
      <c r="L309" s="20" t="str">
        <f>IF(C309="","",IF(COUNTIF('01_rules'!$A$2:$A$39,C309)=0,"rule 없음",""))</f>
        <v/>
      </c>
      <c r="M309" s="20" t="str">
        <f t="shared" si="13"/>
        <v/>
      </c>
      <c r="N309" s="20" t="str">
        <f t="shared" si="14"/>
        <v/>
      </c>
    </row>
    <row r="310" spans="1:14" ht="15" customHeight="1">
      <c r="A310" s="17" t="s">
        <v>4291</v>
      </c>
      <c r="B310" s="17" t="s">
        <v>244</v>
      </c>
      <c r="C310" s="17" t="s">
        <v>242</v>
      </c>
      <c r="D310" s="17" t="s">
        <v>4292</v>
      </c>
      <c r="E310" s="17" t="s">
        <v>1500</v>
      </c>
      <c r="F310" s="17" t="s">
        <v>2976</v>
      </c>
      <c r="G310" s="17" t="s">
        <v>4293</v>
      </c>
      <c r="H310" s="17" t="s">
        <v>4294</v>
      </c>
      <c r="I310" s="19" t="s">
        <v>95</v>
      </c>
      <c r="J310" s="24"/>
      <c r="K310" s="20" t="str">
        <f t="shared" si="12"/>
        <v/>
      </c>
      <c r="L310" s="20" t="str">
        <f>IF(C310="","",IF(COUNTIF('01_rules'!$A$2:$A$39,C310)=0,"rule 없음",""))</f>
        <v/>
      </c>
      <c r="M310" s="20" t="str">
        <f t="shared" si="13"/>
        <v/>
      </c>
      <c r="N310" s="20" t="str">
        <f t="shared" si="14"/>
        <v/>
      </c>
    </row>
    <row r="311" spans="1:14" ht="15" customHeight="1">
      <c r="A311" s="17" t="s">
        <v>4295</v>
      </c>
      <c r="B311" s="17" t="s">
        <v>244</v>
      </c>
      <c r="C311" s="17" t="s">
        <v>242</v>
      </c>
      <c r="D311" s="17" t="s">
        <v>4296</v>
      </c>
      <c r="E311" s="17" t="s">
        <v>1503</v>
      </c>
      <c r="F311" s="17" t="s">
        <v>2980</v>
      </c>
      <c r="G311" s="17" t="s">
        <v>4297</v>
      </c>
      <c r="H311" s="17" t="s">
        <v>4298</v>
      </c>
      <c r="I311" s="19" t="s">
        <v>95</v>
      </c>
      <c r="J311" s="24"/>
      <c r="K311" s="20" t="str">
        <f t="shared" si="12"/>
        <v/>
      </c>
      <c r="L311" s="20" t="str">
        <f>IF(C311="","",IF(COUNTIF('01_rules'!$A$2:$A$39,C311)=0,"rule 없음",""))</f>
        <v/>
      </c>
      <c r="M311" s="20" t="str">
        <f t="shared" si="13"/>
        <v/>
      </c>
      <c r="N311" s="20" t="str">
        <f t="shared" si="14"/>
        <v/>
      </c>
    </row>
    <row r="312" spans="1:14" ht="15" customHeight="1">
      <c r="A312" s="17" t="s">
        <v>4299</v>
      </c>
      <c r="B312" s="17" t="s">
        <v>244</v>
      </c>
      <c r="C312" s="17" t="s">
        <v>242</v>
      </c>
      <c r="D312" s="17" t="s">
        <v>4300</v>
      </c>
      <c r="E312" s="17" t="s">
        <v>1506</v>
      </c>
      <c r="F312" s="17" t="s">
        <v>2984</v>
      </c>
      <c r="G312" s="17" t="s">
        <v>4301</v>
      </c>
      <c r="H312" s="17" t="s">
        <v>4302</v>
      </c>
      <c r="I312" s="19" t="s">
        <v>95</v>
      </c>
      <c r="J312" s="24"/>
      <c r="K312" s="20" t="str">
        <f t="shared" si="12"/>
        <v/>
      </c>
      <c r="L312" s="20" t="str">
        <f>IF(C312="","",IF(COUNTIF('01_rules'!$A$2:$A$39,C312)=0,"rule 없음",""))</f>
        <v/>
      </c>
      <c r="M312" s="20" t="str">
        <f t="shared" si="13"/>
        <v/>
      </c>
      <c r="N312" s="20" t="str">
        <f t="shared" si="14"/>
        <v/>
      </c>
    </row>
    <row r="313" spans="1:14" ht="23.25" customHeight="1">
      <c r="A313" s="17" t="s">
        <v>4303</v>
      </c>
      <c r="B313" s="17" t="s">
        <v>244</v>
      </c>
      <c r="C313" s="17" t="s">
        <v>334</v>
      </c>
      <c r="D313" s="17" t="s">
        <v>4304</v>
      </c>
      <c r="E313" s="17" t="s">
        <v>1509</v>
      </c>
      <c r="F313" s="17" t="s">
        <v>4305</v>
      </c>
      <c r="G313" s="17" t="s">
        <v>2988</v>
      </c>
      <c r="H313" s="17" t="s">
        <v>4306</v>
      </c>
      <c r="I313" s="19" t="s">
        <v>95</v>
      </c>
      <c r="J313" s="24"/>
      <c r="K313" s="20" t="str">
        <f t="shared" si="12"/>
        <v/>
      </c>
      <c r="L313" s="20" t="str">
        <f>IF(C313="","",IF(COUNTIF('01_rules'!$A$2:$A$39,C313)=0,"rule 없음",""))</f>
        <v/>
      </c>
      <c r="M313" s="20" t="str">
        <f t="shared" si="13"/>
        <v/>
      </c>
      <c r="N313" s="20" t="str">
        <f t="shared" si="14"/>
        <v/>
      </c>
    </row>
    <row r="314" spans="1:14" ht="15" customHeight="1">
      <c r="A314" s="17" t="s">
        <v>4307</v>
      </c>
      <c r="B314" s="17" t="s">
        <v>244</v>
      </c>
      <c r="C314" s="17" t="s">
        <v>334</v>
      </c>
      <c r="D314" s="17" t="s">
        <v>4308</v>
      </c>
      <c r="E314" s="17" t="s">
        <v>1512</v>
      </c>
      <c r="F314" s="17" t="s">
        <v>3396</v>
      </c>
      <c r="G314" s="17" t="s">
        <v>3397</v>
      </c>
      <c r="H314" s="17" t="s">
        <v>3398</v>
      </c>
      <c r="I314" s="19" t="s">
        <v>95</v>
      </c>
      <c r="J314" s="24"/>
      <c r="K314" s="20" t="str">
        <f t="shared" si="12"/>
        <v/>
      </c>
      <c r="L314" s="20" t="str">
        <f>IF(C314="","",IF(COUNTIF('01_rules'!$A$2:$A$39,C314)=0,"rule 없음",""))</f>
        <v/>
      </c>
      <c r="M314" s="20" t="str">
        <f t="shared" si="13"/>
        <v/>
      </c>
      <c r="N314" s="20" t="str">
        <f t="shared" si="14"/>
        <v/>
      </c>
    </row>
    <row r="315" spans="1:14" ht="15" customHeight="1">
      <c r="A315" s="17" t="s">
        <v>4309</v>
      </c>
      <c r="B315" s="17" t="s">
        <v>244</v>
      </c>
      <c r="C315" s="17" t="s">
        <v>242</v>
      </c>
      <c r="D315" s="17" t="s">
        <v>4310</v>
      </c>
      <c r="E315" s="17" t="s">
        <v>1515</v>
      </c>
      <c r="F315" s="17" t="s">
        <v>2995</v>
      </c>
      <c r="G315" s="17" t="s">
        <v>4311</v>
      </c>
      <c r="H315" s="17" t="s">
        <v>4312</v>
      </c>
      <c r="I315" s="19" t="s">
        <v>95</v>
      </c>
      <c r="J315" s="24"/>
      <c r="K315" s="20" t="str">
        <f t="shared" si="12"/>
        <v/>
      </c>
      <c r="L315" s="20" t="str">
        <f>IF(C315="","",IF(COUNTIF('01_rules'!$A$2:$A$39,C315)=0,"rule 없음",""))</f>
        <v/>
      </c>
      <c r="M315" s="20" t="str">
        <f t="shared" si="13"/>
        <v/>
      </c>
      <c r="N315" s="20" t="str">
        <f t="shared" si="14"/>
        <v/>
      </c>
    </row>
    <row r="316" spans="1:14" ht="15" customHeight="1">
      <c r="A316" s="17" t="s">
        <v>4313</v>
      </c>
      <c r="B316" s="17" t="s">
        <v>244</v>
      </c>
      <c r="C316" s="17" t="s">
        <v>242</v>
      </c>
      <c r="D316" s="17" t="s">
        <v>4314</v>
      </c>
      <c r="E316" s="17" t="s">
        <v>1518</v>
      </c>
      <c r="F316" s="17" t="s">
        <v>2999</v>
      </c>
      <c r="G316" s="17" t="s">
        <v>4315</v>
      </c>
      <c r="H316" s="17" t="s">
        <v>4316</v>
      </c>
      <c r="I316" s="19" t="s">
        <v>95</v>
      </c>
      <c r="J316" s="24"/>
      <c r="K316" s="20" t="str">
        <f t="shared" si="12"/>
        <v/>
      </c>
      <c r="L316" s="20" t="str">
        <f>IF(C316="","",IF(COUNTIF('01_rules'!$A$2:$A$39,C316)=0,"rule 없음",""))</f>
        <v/>
      </c>
      <c r="M316" s="20" t="str">
        <f t="shared" si="13"/>
        <v/>
      </c>
      <c r="N316" s="20" t="str">
        <f t="shared" si="14"/>
        <v/>
      </c>
    </row>
    <row r="317" spans="1:14" ht="15" customHeight="1">
      <c r="A317" s="17" t="s">
        <v>4317</v>
      </c>
      <c r="B317" s="17" t="s">
        <v>244</v>
      </c>
      <c r="C317" s="17" t="s">
        <v>334</v>
      </c>
      <c r="D317" s="17" t="s">
        <v>4318</v>
      </c>
      <c r="E317" s="17" t="s">
        <v>1521</v>
      </c>
      <c r="F317" s="17" t="s">
        <v>3396</v>
      </c>
      <c r="G317" s="17" t="s">
        <v>3397</v>
      </c>
      <c r="H317" s="17" t="s">
        <v>3398</v>
      </c>
      <c r="I317" s="19" t="s">
        <v>95</v>
      </c>
      <c r="J317" s="24"/>
      <c r="K317" s="20" t="str">
        <f t="shared" si="12"/>
        <v/>
      </c>
      <c r="L317" s="20" t="str">
        <f>IF(C317="","",IF(COUNTIF('01_rules'!$A$2:$A$39,C317)=0,"rule 없음",""))</f>
        <v/>
      </c>
      <c r="M317" s="20" t="str">
        <f t="shared" si="13"/>
        <v/>
      </c>
      <c r="N317" s="20" t="str">
        <f t="shared" si="14"/>
        <v/>
      </c>
    </row>
    <row r="318" spans="1:14" ht="15" customHeight="1">
      <c r="A318" s="17" t="s">
        <v>4319</v>
      </c>
      <c r="B318" s="17" t="s">
        <v>244</v>
      </c>
      <c r="C318" s="17" t="s">
        <v>334</v>
      </c>
      <c r="D318" s="17" t="s">
        <v>4320</v>
      </c>
      <c r="E318" s="17" t="s">
        <v>1524</v>
      </c>
      <c r="F318" s="17" t="s">
        <v>3396</v>
      </c>
      <c r="G318" s="17" t="s">
        <v>3397</v>
      </c>
      <c r="H318" s="17" t="s">
        <v>3398</v>
      </c>
      <c r="I318" s="19" t="s">
        <v>95</v>
      </c>
      <c r="J318" s="24"/>
      <c r="K318" s="20" t="str">
        <f t="shared" si="12"/>
        <v/>
      </c>
      <c r="L318" s="20" t="str">
        <f>IF(C318="","",IF(COUNTIF('01_rules'!$A$2:$A$39,C318)=0,"rule 없음",""))</f>
        <v/>
      </c>
      <c r="M318" s="20" t="str">
        <f t="shared" si="13"/>
        <v/>
      </c>
      <c r="N318" s="20" t="str">
        <f t="shared" si="14"/>
        <v/>
      </c>
    </row>
    <row r="319" spans="1:14" ht="15" customHeight="1">
      <c r="A319" s="17" t="s">
        <v>4321</v>
      </c>
      <c r="B319" s="17" t="s">
        <v>244</v>
      </c>
      <c r="C319" s="17" t="s">
        <v>334</v>
      </c>
      <c r="D319" s="17" t="s">
        <v>4322</v>
      </c>
      <c r="E319" s="17" t="s">
        <v>1527</v>
      </c>
      <c r="F319" s="17" t="s">
        <v>3396</v>
      </c>
      <c r="G319" s="17" t="s">
        <v>3397</v>
      </c>
      <c r="H319" s="17" t="s">
        <v>3398</v>
      </c>
      <c r="I319" s="19" t="s">
        <v>95</v>
      </c>
      <c r="J319" s="24"/>
      <c r="K319" s="20" t="str">
        <f t="shared" si="12"/>
        <v/>
      </c>
      <c r="L319" s="20" t="str">
        <f>IF(C319="","",IF(COUNTIF('01_rules'!$A$2:$A$39,C319)=0,"rule 없음",""))</f>
        <v/>
      </c>
      <c r="M319" s="20" t="str">
        <f t="shared" si="13"/>
        <v/>
      </c>
      <c r="N319" s="20" t="str">
        <f t="shared" si="14"/>
        <v/>
      </c>
    </row>
    <row r="320" spans="1:14" ht="15" customHeight="1">
      <c r="A320" s="17" t="s">
        <v>4323</v>
      </c>
      <c r="B320" s="17" t="s">
        <v>244</v>
      </c>
      <c r="C320" s="17" t="s">
        <v>87</v>
      </c>
      <c r="D320" s="17" t="s">
        <v>4324</v>
      </c>
      <c r="E320" s="17" t="s">
        <v>1530</v>
      </c>
      <c r="F320" s="17" t="s">
        <v>4325</v>
      </c>
      <c r="G320" s="17" t="s">
        <v>4326</v>
      </c>
      <c r="H320" s="17" t="s">
        <v>3343</v>
      </c>
      <c r="I320" s="19" t="s">
        <v>95</v>
      </c>
      <c r="J320" s="24"/>
      <c r="K320" s="20" t="str">
        <f t="shared" si="12"/>
        <v/>
      </c>
      <c r="L320" s="20" t="str">
        <f>IF(C320="","",IF(COUNTIF('01_rules'!$A$2:$A$39,C320)=0,"rule 없음",""))</f>
        <v/>
      </c>
      <c r="M320" s="20" t="str">
        <f t="shared" si="13"/>
        <v/>
      </c>
      <c r="N320" s="20" t="str">
        <f t="shared" si="14"/>
        <v/>
      </c>
    </row>
    <row r="321" spans="1:14" ht="23.25" customHeight="1">
      <c r="A321" s="17" t="s">
        <v>4327</v>
      </c>
      <c r="B321" s="17" t="s">
        <v>244</v>
      </c>
      <c r="C321" s="17" t="s">
        <v>334</v>
      </c>
      <c r="D321" s="17" t="s">
        <v>4328</v>
      </c>
      <c r="E321" s="17" t="s">
        <v>1533</v>
      </c>
      <c r="F321" s="17" t="s">
        <v>3396</v>
      </c>
      <c r="G321" s="17" t="s">
        <v>3397</v>
      </c>
      <c r="H321" s="17" t="s">
        <v>3398</v>
      </c>
      <c r="I321" s="19" t="s">
        <v>95</v>
      </c>
      <c r="J321" s="24"/>
      <c r="K321" s="20" t="str">
        <f t="shared" si="12"/>
        <v/>
      </c>
      <c r="L321" s="20" t="str">
        <f>IF(C321="","",IF(COUNTIF('01_rules'!$A$2:$A$39,C321)=0,"rule 없음",""))</f>
        <v/>
      </c>
      <c r="M321" s="20" t="str">
        <f t="shared" si="13"/>
        <v/>
      </c>
      <c r="N321" s="20" t="str">
        <f t="shared" si="14"/>
        <v/>
      </c>
    </row>
    <row r="322" spans="1:14" ht="15" customHeight="1">
      <c r="A322" s="17" t="s">
        <v>4329</v>
      </c>
      <c r="B322" s="17" t="s">
        <v>251</v>
      </c>
      <c r="C322" s="17" t="s">
        <v>256</v>
      </c>
      <c r="D322" s="17" t="s">
        <v>4330</v>
      </c>
      <c r="E322" s="17" t="s">
        <v>1536</v>
      </c>
      <c r="F322" s="17" t="s">
        <v>3023</v>
      </c>
      <c r="G322" s="17" t="s">
        <v>4331</v>
      </c>
      <c r="H322" s="17" t="s">
        <v>4332</v>
      </c>
      <c r="I322" s="19" t="s">
        <v>95</v>
      </c>
      <c r="J322" s="24"/>
      <c r="K322" s="20" t="str">
        <f t="shared" ref="K322:K385" si="15">IF(A322="","",IF(COUNTIF($A$2:$A$401,A322)&gt;1,"중복",""))</f>
        <v/>
      </c>
      <c r="L322" s="20" t="str">
        <f>IF(C322="","",IF(COUNTIF('01_rules'!$A$2:$A$39,C322)=0,"rule 없음",""))</f>
        <v/>
      </c>
      <c r="M322" s="20" t="str">
        <f t="shared" ref="M322:M385" si="16">IF(D322="","",IF(D322=E322,"error=correct",""))</f>
        <v/>
      </c>
      <c r="N322" s="20" t="str">
        <f t="shared" ref="N322:N385" si="17">IF(H322="","",IF(LEN(H322)-LEN(SUBSTITUTE(H322,";",""))&lt;&gt;2,"보기 3개 아님",""))</f>
        <v/>
      </c>
    </row>
    <row r="323" spans="1:14" ht="15" customHeight="1">
      <c r="A323" s="17" t="s">
        <v>4333</v>
      </c>
      <c r="B323" s="17" t="s">
        <v>251</v>
      </c>
      <c r="C323" s="17" t="s">
        <v>256</v>
      </c>
      <c r="D323" s="17" t="s">
        <v>4334</v>
      </c>
      <c r="E323" s="17" t="s">
        <v>1539</v>
      </c>
      <c r="F323" s="17" t="s">
        <v>3027</v>
      </c>
      <c r="G323" s="17" t="s">
        <v>4335</v>
      </c>
      <c r="H323" s="17" t="s">
        <v>4336</v>
      </c>
      <c r="I323" s="19" t="s">
        <v>95</v>
      </c>
      <c r="J323" s="24"/>
      <c r="K323" s="20" t="str">
        <f t="shared" si="15"/>
        <v/>
      </c>
      <c r="L323" s="20" t="str">
        <f>IF(C323="","",IF(COUNTIF('01_rules'!$A$2:$A$39,C323)=0,"rule 없음",""))</f>
        <v/>
      </c>
      <c r="M323" s="20" t="str">
        <f t="shared" si="16"/>
        <v/>
      </c>
      <c r="N323" s="20" t="str">
        <f t="shared" si="17"/>
        <v/>
      </c>
    </row>
    <row r="324" spans="1:14" ht="15" customHeight="1">
      <c r="A324" s="17" t="s">
        <v>4337</v>
      </c>
      <c r="B324" s="17" t="s">
        <v>251</v>
      </c>
      <c r="C324" s="17" t="s">
        <v>256</v>
      </c>
      <c r="D324" s="17" t="s">
        <v>4338</v>
      </c>
      <c r="E324" s="17" t="s">
        <v>1542</v>
      </c>
      <c r="F324" s="17" t="s">
        <v>3031</v>
      </c>
      <c r="G324" s="17" t="s">
        <v>4339</v>
      </c>
      <c r="H324" s="17" t="s">
        <v>4340</v>
      </c>
      <c r="I324" s="19" t="s">
        <v>95</v>
      </c>
      <c r="J324" s="24"/>
      <c r="K324" s="20" t="str">
        <f t="shared" si="15"/>
        <v/>
      </c>
      <c r="L324" s="20" t="str">
        <f>IF(C324="","",IF(COUNTIF('01_rules'!$A$2:$A$39,C324)=0,"rule 없음",""))</f>
        <v/>
      </c>
      <c r="M324" s="20" t="str">
        <f t="shared" si="16"/>
        <v/>
      </c>
      <c r="N324" s="20" t="str">
        <f t="shared" si="17"/>
        <v/>
      </c>
    </row>
    <row r="325" spans="1:14" ht="15" customHeight="1">
      <c r="A325" s="17" t="s">
        <v>4341</v>
      </c>
      <c r="B325" s="17" t="s">
        <v>251</v>
      </c>
      <c r="C325" s="17" t="s">
        <v>256</v>
      </c>
      <c r="D325" s="17" t="s">
        <v>4342</v>
      </c>
      <c r="E325" s="17" t="s">
        <v>1545</v>
      </c>
      <c r="F325" s="17" t="s">
        <v>3035</v>
      </c>
      <c r="G325" s="17" t="s">
        <v>4343</v>
      </c>
      <c r="H325" s="17" t="s">
        <v>4344</v>
      </c>
      <c r="I325" s="19" t="s">
        <v>95</v>
      </c>
      <c r="J325" s="24"/>
      <c r="K325" s="20" t="str">
        <f t="shared" si="15"/>
        <v/>
      </c>
      <c r="L325" s="20" t="str">
        <f>IF(C325="","",IF(COUNTIF('01_rules'!$A$2:$A$39,C325)=0,"rule 없음",""))</f>
        <v/>
      </c>
      <c r="M325" s="20" t="str">
        <f t="shared" si="16"/>
        <v/>
      </c>
      <c r="N325" s="20" t="str">
        <f t="shared" si="17"/>
        <v/>
      </c>
    </row>
    <row r="326" spans="1:14" ht="15" customHeight="1">
      <c r="A326" s="17" t="s">
        <v>4345</v>
      </c>
      <c r="B326" s="17" t="s">
        <v>251</v>
      </c>
      <c r="C326" s="17" t="s">
        <v>256</v>
      </c>
      <c r="D326" s="17" t="s">
        <v>4346</v>
      </c>
      <c r="E326" s="17" t="s">
        <v>1548</v>
      </c>
      <c r="F326" s="17" t="s">
        <v>3039</v>
      </c>
      <c r="G326" s="17" t="s">
        <v>4347</v>
      </c>
      <c r="H326" s="17" t="s">
        <v>4348</v>
      </c>
      <c r="I326" s="19" t="s">
        <v>95</v>
      </c>
      <c r="J326" s="24"/>
      <c r="K326" s="20" t="str">
        <f t="shared" si="15"/>
        <v/>
      </c>
      <c r="L326" s="20" t="str">
        <f>IF(C326="","",IF(COUNTIF('01_rules'!$A$2:$A$39,C326)=0,"rule 없음",""))</f>
        <v/>
      </c>
      <c r="M326" s="20" t="str">
        <f t="shared" si="16"/>
        <v/>
      </c>
      <c r="N326" s="20" t="str">
        <f t="shared" si="17"/>
        <v/>
      </c>
    </row>
    <row r="327" spans="1:14" ht="15" customHeight="1">
      <c r="A327" s="17" t="s">
        <v>4349</v>
      </c>
      <c r="B327" s="17" t="s">
        <v>251</v>
      </c>
      <c r="C327" s="17" t="s">
        <v>256</v>
      </c>
      <c r="D327" s="17" t="s">
        <v>4350</v>
      </c>
      <c r="E327" s="17" t="s">
        <v>1551</v>
      </c>
      <c r="F327" s="17" t="s">
        <v>3043</v>
      </c>
      <c r="G327" s="17" t="s">
        <v>4351</v>
      </c>
      <c r="H327" s="17" t="s">
        <v>4352</v>
      </c>
      <c r="I327" s="19" t="s">
        <v>95</v>
      </c>
      <c r="J327" s="24"/>
      <c r="K327" s="20" t="str">
        <f t="shared" si="15"/>
        <v/>
      </c>
      <c r="L327" s="20" t="str">
        <f>IF(C327="","",IF(COUNTIF('01_rules'!$A$2:$A$39,C327)=0,"rule 없음",""))</f>
        <v/>
      </c>
      <c r="M327" s="20" t="str">
        <f t="shared" si="16"/>
        <v/>
      </c>
      <c r="N327" s="20" t="str">
        <f t="shared" si="17"/>
        <v/>
      </c>
    </row>
    <row r="328" spans="1:14" ht="23.25" customHeight="1">
      <c r="A328" s="17" t="s">
        <v>4353</v>
      </c>
      <c r="B328" s="17" t="s">
        <v>251</v>
      </c>
      <c r="C328" s="17" t="s">
        <v>256</v>
      </c>
      <c r="D328" s="17" t="s">
        <v>4354</v>
      </c>
      <c r="E328" s="17" t="s">
        <v>1554</v>
      </c>
      <c r="F328" s="17" t="s">
        <v>3047</v>
      </c>
      <c r="G328" s="17" t="s">
        <v>4355</v>
      </c>
      <c r="H328" s="17" t="s">
        <v>4356</v>
      </c>
      <c r="I328" s="19" t="s">
        <v>95</v>
      </c>
      <c r="J328" s="24"/>
      <c r="K328" s="20" t="str">
        <f t="shared" si="15"/>
        <v/>
      </c>
      <c r="L328" s="20" t="str">
        <f>IF(C328="","",IF(COUNTIF('01_rules'!$A$2:$A$39,C328)=0,"rule 없음",""))</f>
        <v/>
      </c>
      <c r="M328" s="20" t="str">
        <f t="shared" si="16"/>
        <v/>
      </c>
      <c r="N328" s="20" t="str">
        <f t="shared" si="17"/>
        <v/>
      </c>
    </row>
    <row r="329" spans="1:14" ht="15" customHeight="1">
      <c r="A329" s="17" t="s">
        <v>4357</v>
      </c>
      <c r="B329" s="17" t="s">
        <v>251</v>
      </c>
      <c r="C329" s="17" t="s">
        <v>256</v>
      </c>
      <c r="D329" s="17" t="s">
        <v>4358</v>
      </c>
      <c r="E329" s="17" t="s">
        <v>1557</v>
      </c>
      <c r="F329" s="17" t="s">
        <v>3051</v>
      </c>
      <c r="G329" s="17" t="s">
        <v>4359</v>
      </c>
      <c r="H329" s="17" t="s">
        <v>4360</v>
      </c>
      <c r="I329" s="19" t="s">
        <v>95</v>
      </c>
      <c r="J329" s="24"/>
      <c r="K329" s="20" t="str">
        <f t="shared" si="15"/>
        <v/>
      </c>
      <c r="L329" s="20" t="str">
        <f>IF(C329="","",IF(COUNTIF('01_rules'!$A$2:$A$39,C329)=0,"rule 없음",""))</f>
        <v/>
      </c>
      <c r="M329" s="20" t="str">
        <f t="shared" si="16"/>
        <v/>
      </c>
      <c r="N329" s="20" t="str">
        <f t="shared" si="17"/>
        <v/>
      </c>
    </row>
    <row r="330" spans="1:14" ht="15" customHeight="1">
      <c r="A330" s="17" t="s">
        <v>4361</v>
      </c>
      <c r="B330" s="17" t="s">
        <v>251</v>
      </c>
      <c r="C330" s="17" t="s">
        <v>256</v>
      </c>
      <c r="D330" s="17" t="s">
        <v>4362</v>
      </c>
      <c r="E330" s="17" t="s">
        <v>1560</v>
      </c>
      <c r="F330" s="17" t="s">
        <v>3055</v>
      </c>
      <c r="G330" s="17" t="s">
        <v>4363</v>
      </c>
      <c r="H330" s="17" t="s">
        <v>4364</v>
      </c>
      <c r="I330" s="19" t="s">
        <v>95</v>
      </c>
      <c r="J330" s="24"/>
      <c r="K330" s="20" t="str">
        <f t="shared" si="15"/>
        <v/>
      </c>
      <c r="L330" s="20" t="str">
        <f>IF(C330="","",IF(COUNTIF('01_rules'!$A$2:$A$39,C330)=0,"rule 없음",""))</f>
        <v/>
      </c>
      <c r="M330" s="20" t="str">
        <f t="shared" si="16"/>
        <v/>
      </c>
      <c r="N330" s="20" t="str">
        <f t="shared" si="17"/>
        <v/>
      </c>
    </row>
    <row r="331" spans="1:14" ht="15" customHeight="1">
      <c r="A331" s="17" t="s">
        <v>4365</v>
      </c>
      <c r="B331" s="17" t="s">
        <v>251</v>
      </c>
      <c r="C331" s="17" t="s">
        <v>256</v>
      </c>
      <c r="D331" s="17" t="s">
        <v>4366</v>
      </c>
      <c r="E331" s="17" t="s">
        <v>1563</v>
      </c>
      <c r="F331" s="17" t="s">
        <v>3059</v>
      </c>
      <c r="G331" s="17" t="s">
        <v>4367</v>
      </c>
      <c r="H331" s="17" t="s">
        <v>4368</v>
      </c>
      <c r="I331" s="19" t="s">
        <v>95</v>
      </c>
      <c r="J331" s="24"/>
      <c r="K331" s="20" t="str">
        <f t="shared" si="15"/>
        <v/>
      </c>
      <c r="L331" s="20" t="str">
        <f>IF(C331="","",IF(COUNTIF('01_rules'!$A$2:$A$39,C331)=0,"rule 없음",""))</f>
        <v/>
      </c>
      <c r="M331" s="20" t="str">
        <f t="shared" si="16"/>
        <v/>
      </c>
      <c r="N331" s="20" t="str">
        <f t="shared" si="17"/>
        <v/>
      </c>
    </row>
    <row r="332" spans="1:14" ht="15" customHeight="1">
      <c r="A332" s="17" t="s">
        <v>4369</v>
      </c>
      <c r="B332" s="17" t="s">
        <v>251</v>
      </c>
      <c r="C332" s="17" t="s">
        <v>256</v>
      </c>
      <c r="D332" s="17" t="s">
        <v>4370</v>
      </c>
      <c r="E332" s="17" t="s">
        <v>1566</v>
      </c>
      <c r="F332" s="17" t="s">
        <v>3063</v>
      </c>
      <c r="G332" s="17" t="s">
        <v>4371</v>
      </c>
      <c r="H332" s="17" t="s">
        <v>4372</v>
      </c>
      <c r="I332" s="19" t="s">
        <v>95</v>
      </c>
      <c r="J332" s="24"/>
      <c r="K332" s="20" t="str">
        <f t="shared" si="15"/>
        <v/>
      </c>
      <c r="L332" s="20" t="str">
        <f>IF(C332="","",IF(COUNTIF('01_rules'!$A$2:$A$39,C332)=0,"rule 없음",""))</f>
        <v/>
      </c>
      <c r="M332" s="20" t="str">
        <f t="shared" si="16"/>
        <v/>
      </c>
      <c r="N332" s="20" t="str">
        <f t="shared" si="17"/>
        <v/>
      </c>
    </row>
    <row r="333" spans="1:14" ht="15" customHeight="1">
      <c r="A333" s="17" t="s">
        <v>4373</v>
      </c>
      <c r="B333" s="17" t="s">
        <v>251</v>
      </c>
      <c r="C333" s="17" t="s">
        <v>256</v>
      </c>
      <c r="D333" s="17" t="s">
        <v>4374</v>
      </c>
      <c r="E333" s="17" t="s">
        <v>1569</v>
      </c>
      <c r="F333" s="17" t="s">
        <v>3067</v>
      </c>
      <c r="G333" s="17" t="s">
        <v>4375</v>
      </c>
      <c r="H333" s="17" t="s">
        <v>4376</v>
      </c>
      <c r="I333" s="19" t="s">
        <v>95</v>
      </c>
      <c r="J333" s="24"/>
      <c r="K333" s="20" t="str">
        <f t="shared" si="15"/>
        <v/>
      </c>
      <c r="L333" s="20" t="str">
        <f>IF(C333="","",IF(COUNTIF('01_rules'!$A$2:$A$39,C333)=0,"rule 없음",""))</f>
        <v/>
      </c>
      <c r="M333" s="20" t="str">
        <f t="shared" si="16"/>
        <v/>
      </c>
      <c r="N333" s="20" t="str">
        <f t="shared" si="17"/>
        <v/>
      </c>
    </row>
    <row r="334" spans="1:14" ht="23.25" customHeight="1">
      <c r="A334" s="17" t="s">
        <v>4377</v>
      </c>
      <c r="B334" s="17" t="s">
        <v>251</v>
      </c>
      <c r="C334" s="17" t="s">
        <v>256</v>
      </c>
      <c r="D334" s="17" t="s">
        <v>4378</v>
      </c>
      <c r="E334" s="17" t="s">
        <v>1572</v>
      </c>
      <c r="F334" s="17" t="s">
        <v>3071</v>
      </c>
      <c r="G334" s="17" t="s">
        <v>4379</v>
      </c>
      <c r="H334" s="17" t="s">
        <v>4380</v>
      </c>
      <c r="I334" s="19" t="s">
        <v>95</v>
      </c>
      <c r="J334" s="24"/>
      <c r="K334" s="20" t="str">
        <f t="shared" si="15"/>
        <v/>
      </c>
      <c r="L334" s="20" t="str">
        <f>IF(C334="","",IF(COUNTIF('01_rules'!$A$2:$A$39,C334)=0,"rule 없음",""))</f>
        <v/>
      </c>
      <c r="M334" s="20" t="str">
        <f t="shared" si="16"/>
        <v/>
      </c>
      <c r="N334" s="20" t="str">
        <f t="shared" si="17"/>
        <v/>
      </c>
    </row>
    <row r="335" spans="1:14" ht="15" customHeight="1">
      <c r="A335" s="17" t="s">
        <v>4381</v>
      </c>
      <c r="B335" s="17" t="s">
        <v>251</v>
      </c>
      <c r="C335" s="17" t="s">
        <v>256</v>
      </c>
      <c r="D335" s="17" t="s">
        <v>4382</v>
      </c>
      <c r="E335" s="17" t="s">
        <v>1575</v>
      </c>
      <c r="F335" s="17" t="s">
        <v>3075</v>
      </c>
      <c r="G335" s="17" t="s">
        <v>4383</v>
      </c>
      <c r="H335" s="17" t="s">
        <v>4384</v>
      </c>
      <c r="I335" s="19" t="s">
        <v>95</v>
      </c>
      <c r="J335" s="24"/>
      <c r="K335" s="20" t="str">
        <f t="shared" si="15"/>
        <v/>
      </c>
      <c r="L335" s="20" t="str">
        <f>IF(C335="","",IF(COUNTIF('01_rules'!$A$2:$A$39,C335)=0,"rule 없음",""))</f>
        <v/>
      </c>
      <c r="M335" s="20" t="str">
        <f t="shared" si="16"/>
        <v/>
      </c>
      <c r="N335" s="20" t="str">
        <f t="shared" si="17"/>
        <v/>
      </c>
    </row>
    <row r="336" spans="1:14" ht="15" customHeight="1">
      <c r="A336" s="17" t="s">
        <v>4385</v>
      </c>
      <c r="B336" s="17" t="s">
        <v>251</v>
      </c>
      <c r="C336" s="17" t="s">
        <v>256</v>
      </c>
      <c r="D336" s="17" t="s">
        <v>4386</v>
      </c>
      <c r="E336" s="17" t="s">
        <v>1578</v>
      </c>
      <c r="F336" s="17" t="s">
        <v>3079</v>
      </c>
      <c r="G336" s="17" t="s">
        <v>4387</v>
      </c>
      <c r="H336" s="17" t="s">
        <v>4388</v>
      </c>
      <c r="I336" s="19" t="s">
        <v>95</v>
      </c>
      <c r="J336" s="24"/>
      <c r="K336" s="20" t="str">
        <f t="shared" si="15"/>
        <v/>
      </c>
      <c r="L336" s="20" t="str">
        <f>IF(C336="","",IF(COUNTIF('01_rules'!$A$2:$A$39,C336)=0,"rule 없음",""))</f>
        <v/>
      </c>
      <c r="M336" s="20" t="str">
        <f t="shared" si="16"/>
        <v/>
      </c>
      <c r="N336" s="20" t="str">
        <f t="shared" si="17"/>
        <v/>
      </c>
    </row>
    <row r="337" spans="1:14" ht="15" customHeight="1">
      <c r="A337" s="17" t="s">
        <v>4389</v>
      </c>
      <c r="B337" s="17" t="s">
        <v>251</v>
      </c>
      <c r="C337" s="17" t="s">
        <v>334</v>
      </c>
      <c r="D337" s="17" t="s">
        <v>4390</v>
      </c>
      <c r="E337" s="17" t="s">
        <v>1581</v>
      </c>
      <c r="F337" s="17" t="s">
        <v>3396</v>
      </c>
      <c r="G337" s="17" t="s">
        <v>3397</v>
      </c>
      <c r="H337" s="17" t="s">
        <v>3398</v>
      </c>
      <c r="I337" s="19" t="s">
        <v>95</v>
      </c>
      <c r="J337" s="24"/>
      <c r="K337" s="20" t="str">
        <f t="shared" si="15"/>
        <v/>
      </c>
      <c r="L337" s="20" t="str">
        <f>IF(C337="","",IF(COUNTIF('01_rules'!$A$2:$A$39,C337)=0,"rule 없음",""))</f>
        <v/>
      </c>
      <c r="M337" s="20" t="str">
        <f t="shared" si="16"/>
        <v/>
      </c>
      <c r="N337" s="20" t="str">
        <f t="shared" si="17"/>
        <v/>
      </c>
    </row>
    <row r="338" spans="1:14" ht="15" customHeight="1">
      <c r="A338" s="17" t="s">
        <v>4391</v>
      </c>
      <c r="B338" s="17" t="s">
        <v>251</v>
      </c>
      <c r="C338" s="17" t="s">
        <v>334</v>
      </c>
      <c r="D338" s="17" t="s">
        <v>4392</v>
      </c>
      <c r="E338" s="17" t="s">
        <v>1584</v>
      </c>
      <c r="F338" s="17" t="s">
        <v>3396</v>
      </c>
      <c r="G338" s="17" t="s">
        <v>3397</v>
      </c>
      <c r="H338" s="17" t="s">
        <v>3398</v>
      </c>
      <c r="I338" s="19" t="s">
        <v>95</v>
      </c>
      <c r="J338" s="24"/>
      <c r="K338" s="20" t="str">
        <f t="shared" si="15"/>
        <v/>
      </c>
      <c r="L338" s="20" t="str">
        <f>IF(C338="","",IF(COUNTIF('01_rules'!$A$2:$A$39,C338)=0,"rule 없음",""))</f>
        <v/>
      </c>
      <c r="M338" s="20" t="str">
        <f t="shared" si="16"/>
        <v/>
      </c>
      <c r="N338" s="20" t="str">
        <f t="shared" si="17"/>
        <v/>
      </c>
    </row>
    <row r="339" spans="1:14" ht="15" customHeight="1">
      <c r="A339" s="17" t="s">
        <v>4393</v>
      </c>
      <c r="B339" s="17" t="s">
        <v>251</v>
      </c>
      <c r="C339" s="17" t="s">
        <v>310</v>
      </c>
      <c r="D339" s="17" t="s">
        <v>4394</v>
      </c>
      <c r="E339" s="17" t="s">
        <v>1587</v>
      </c>
      <c r="F339" s="17" t="s">
        <v>3397</v>
      </c>
      <c r="G339" s="17" t="s">
        <v>3396</v>
      </c>
      <c r="H339" s="17" t="s">
        <v>3398</v>
      </c>
      <c r="I339" s="19" t="s">
        <v>95</v>
      </c>
      <c r="J339" s="24"/>
      <c r="K339" s="20" t="str">
        <f t="shared" si="15"/>
        <v/>
      </c>
      <c r="L339" s="20" t="str">
        <f>IF(C339="","",IF(COUNTIF('01_rules'!$A$2:$A$39,C339)=0,"rule 없음",""))</f>
        <v/>
      </c>
      <c r="M339" s="20" t="str">
        <f t="shared" si="16"/>
        <v/>
      </c>
      <c r="N339" s="20" t="str">
        <f t="shared" si="17"/>
        <v/>
      </c>
    </row>
    <row r="340" spans="1:14" ht="15" customHeight="1">
      <c r="A340" s="17" t="s">
        <v>4395</v>
      </c>
      <c r="B340" s="17" t="s">
        <v>251</v>
      </c>
      <c r="C340" s="17" t="s">
        <v>310</v>
      </c>
      <c r="D340" s="17" t="s">
        <v>4396</v>
      </c>
      <c r="E340" s="17" t="s">
        <v>1589</v>
      </c>
      <c r="F340" s="17" t="s">
        <v>3397</v>
      </c>
      <c r="G340" s="17" t="s">
        <v>3396</v>
      </c>
      <c r="H340" s="17" t="s">
        <v>3398</v>
      </c>
      <c r="I340" s="19" t="s">
        <v>95</v>
      </c>
      <c r="J340" s="24"/>
      <c r="K340" s="20" t="str">
        <f t="shared" si="15"/>
        <v/>
      </c>
      <c r="L340" s="20" t="str">
        <f>IF(C340="","",IF(COUNTIF('01_rules'!$A$2:$A$39,C340)=0,"rule 없음",""))</f>
        <v/>
      </c>
      <c r="M340" s="20" t="str">
        <f t="shared" si="16"/>
        <v/>
      </c>
      <c r="N340" s="20" t="str">
        <f t="shared" si="17"/>
        <v/>
      </c>
    </row>
    <row r="341" spans="1:14" ht="15" customHeight="1">
      <c r="A341" s="17" t="s">
        <v>4397</v>
      </c>
      <c r="B341" s="17" t="s">
        <v>251</v>
      </c>
      <c r="C341" s="17" t="s">
        <v>249</v>
      </c>
      <c r="D341" s="17" t="s">
        <v>4398</v>
      </c>
      <c r="E341" s="17" t="s">
        <v>1592</v>
      </c>
      <c r="F341" s="17" t="s">
        <v>3098</v>
      </c>
      <c r="G341" s="17" t="s">
        <v>4399</v>
      </c>
      <c r="H341" s="17" t="s">
        <v>4400</v>
      </c>
      <c r="I341" s="19" t="s">
        <v>95</v>
      </c>
      <c r="J341" s="24"/>
      <c r="K341" s="20" t="str">
        <f t="shared" si="15"/>
        <v/>
      </c>
      <c r="L341" s="20" t="str">
        <f>IF(C341="","",IF(COUNTIF('01_rules'!$A$2:$A$39,C341)=0,"rule 없음",""))</f>
        <v/>
      </c>
      <c r="M341" s="20" t="str">
        <f t="shared" si="16"/>
        <v/>
      </c>
      <c r="N341" s="20" t="str">
        <f t="shared" si="17"/>
        <v/>
      </c>
    </row>
    <row r="342" spans="1:14" ht="15" customHeight="1">
      <c r="A342" s="17" t="s">
        <v>4401</v>
      </c>
      <c r="B342" s="17" t="s">
        <v>264</v>
      </c>
      <c r="C342" s="17" t="s">
        <v>87</v>
      </c>
      <c r="D342" s="17" t="s">
        <v>4402</v>
      </c>
      <c r="E342" s="17" t="s">
        <v>1595</v>
      </c>
      <c r="F342" s="17" t="s">
        <v>3102</v>
      </c>
      <c r="G342" s="17" t="s">
        <v>4403</v>
      </c>
      <c r="H342" s="17" t="s">
        <v>3343</v>
      </c>
      <c r="I342" s="19" t="s">
        <v>95</v>
      </c>
      <c r="J342" s="24"/>
      <c r="K342" s="20" t="str">
        <f t="shared" si="15"/>
        <v/>
      </c>
      <c r="L342" s="20" t="str">
        <f>IF(C342="","",IF(COUNTIF('01_rules'!$A$2:$A$39,C342)=0,"rule 없음",""))</f>
        <v/>
      </c>
      <c r="M342" s="20" t="str">
        <f t="shared" si="16"/>
        <v/>
      </c>
      <c r="N342" s="20" t="str">
        <f t="shared" si="17"/>
        <v/>
      </c>
    </row>
    <row r="343" spans="1:14" ht="15" customHeight="1">
      <c r="A343" s="17" t="s">
        <v>4404</v>
      </c>
      <c r="B343" s="17" t="s">
        <v>264</v>
      </c>
      <c r="C343" s="17" t="s">
        <v>87</v>
      </c>
      <c r="D343" s="17" t="s">
        <v>4405</v>
      </c>
      <c r="E343" s="17" t="s">
        <v>1598</v>
      </c>
      <c r="F343" s="17" t="s">
        <v>3105</v>
      </c>
      <c r="G343" s="17" t="s">
        <v>4406</v>
      </c>
      <c r="H343" s="17" t="s">
        <v>3343</v>
      </c>
      <c r="I343" s="19" t="s">
        <v>95</v>
      </c>
      <c r="J343" s="24"/>
      <c r="K343" s="20" t="str">
        <f t="shared" si="15"/>
        <v/>
      </c>
      <c r="L343" s="20" t="str">
        <f>IF(C343="","",IF(COUNTIF('01_rules'!$A$2:$A$39,C343)=0,"rule 없음",""))</f>
        <v/>
      </c>
      <c r="M343" s="20" t="str">
        <f t="shared" si="16"/>
        <v/>
      </c>
      <c r="N343" s="20" t="str">
        <f t="shared" si="17"/>
        <v/>
      </c>
    </row>
    <row r="344" spans="1:14" ht="23.25" customHeight="1">
      <c r="A344" s="17" t="s">
        <v>4407</v>
      </c>
      <c r="B344" s="17" t="s">
        <v>264</v>
      </c>
      <c r="C344" s="17" t="s">
        <v>87</v>
      </c>
      <c r="D344" s="17" t="s">
        <v>4408</v>
      </c>
      <c r="E344" s="17" t="s">
        <v>1601</v>
      </c>
      <c r="F344" s="17" t="s">
        <v>3109</v>
      </c>
      <c r="G344" s="17" t="s">
        <v>4409</v>
      </c>
      <c r="H344" s="17" t="s">
        <v>3343</v>
      </c>
      <c r="I344" s="19" t="s">
        <v>95</v>
      </c>
      <c r="J344" s="24"/>
      <c r="K344" s="20" t="str">
        <f t="shared" si="15"/>
        <v/>
      </c>
      <c r="L344" s="20" t="str">
        <f>IF(C344="","",IF(COUNTIF('01_rules'!$A$2:$A$39,C344)=0,"rule 없음",""))</f>
        <v/>
      </c>
      <c r="M344" s="20" t="str">
        <f t="shared" si="16"/>
        <v/>
      </c>
      <c r="N344" s="20" t="str">
        <f t="shared" si="17"/>
        <v/>
      </c>
    </row>
    <row r="345" spans="1:14" ht="15" customHeight="1">
      <c r="A345" s="17" t="s">
        <v>4410</v>
      </c>
      <c r="B345" s="17" t="s">
        <v>264</v>
      </c>
      <c r="C345" s="17" t="s">
        <v>87</v>
      </c>
      <c r="D345" s="17" t="s">
        <v>4411</v>
      </c>
      <c r="E345" s="17" t="s">
        <v>1604</v>
      </c>
      <c r="F345" s="17" t="s">
        <v>3113</v>
      </c>
      <c r="G345" s="17" t="s">
        <v>4412</v>
      </c>
      <c r="H345" s="17" t="s">
        <v>3343</v>
      </c>
      <c r="I345" s="19" t="s">
        <v>95</v>
      </c>
      <c r="J345" s="24"/>
      <c r="K345" s="20" t="str">
        <f t="shared" si="15"/>
        <v/>
      </c>
      <c r="L345" s="20" t="str">
        <f>IF(C345="","",IF(COUNTIF('01_rules'!$A$2:$A$39,C345)=0,"rule 없음",""))</f>
        <v/>
      </c>
      <c r="M345" s="20" t="str">
        <f t="shared" si="16"/>
        <v/>
      </c>
      <c r="N345" s="20" t="str">
        <f t="shared" si="17"/>
        <v/>
      </c>
    </row>
    <row r="346" spans="1:14" ht="15" customHeight="1">
      <c r="A346" s="17" t="s">
        <v>4413</v>
      </c>
      <c r="B346" s="17" t="s">
        <v>264</v>
      </c>
      <c r="C346" s="17" t="s">
        <v>87</v>
      </c>
      <c r="D346" s="17" t="s">
        <v>4414</v>
      </c>
      <c r="E346" s="17" t="s">
        <v>1607</v>
      </c>
      <c r="F346" s="17" t="s">
        <v>3117</v>
      </c>
      <c r="G346" s="17" t="s">
        <v>4415</v>
      </c>
      <c r="H346" s="17" t="s">
        <v>3343</v>
      </c>
      <c r="I346" s="19" t="s">
        <v>95</v>
      </c>
      <c r="J346" s="24"/>
      <c r="K346" s="20" t="str">
        <f t="shared" si="15"/>
        <v/>
      </c>
      <c r="L346" s="20" t="str">
        <f>IF(C346="","",IF(COUNTIF('01_rules'!$A$2:$A$39,C346)=0,"rule 없음",""))</f>
        <v/>
      </c>
      <c r="M346" s="20" t="str">
        <f t="shared" si="16"/>
        <v/>
      </c>
      <c r="N346" s="20" t="str">
        <f t="shared" si="17"/>
        <v/>
      </c>
    </row>
    <row r="347" spans="1:14" ht="15" customHeight="1">
      <c r="A347" s="17" t="s">
        <v>4416</v>
      </c>
      <c r="B347" s="17" t="s">
        <v>264</v>
      </c>
      <c r="C347" s="17" t="s">
        <v>87</v>
      </c>
      <c r="D347" s="17" t="s">
        <v>4417</v>
      </c>
      <c r="E347" s="17" t="s">
        <v>1610</v>
      </c>
      <c r="F347" s="17" t="s">
        <v>3121</v>
      </c>
      <c r="G347" s="17" t="s">
        <v>4418</v>
      </c>
      <c r="H347" s="17" t="s">
        <v>3343</v>
      </c>
      <c r="I347" s="19" t="s">
        <v>95</v>
      </c>
      <c r="J347" s="24"/>
      <c r="K347" s="20" t="str">
        <f t="shared" si="15"/>
        <v/>
      </c>
      <c r="L347" s="20" t="str">
        <f>IF(C347="","",IF(COUNTIF('01_rules'!$A$2:$A$39,C347)=0,"rule 없음",""))</f>
        <v/>
      </c>
      <c r="M347" s="20" t="str">
        <f t="shared" si="16"/>
        <v/>
      </c>
      <c r="N347" s="20" t="str">
        <f t="shared" si="17"/>
        <v/>
      </c>
    </row>
    <row r="348" spans="1:14" ht="15" customHeight="1">
      <c r="A348" s="17" t="s">
        <v>4419</v>
      </c>
      <c r="B348" s="17" t="s">
        <v>264</v>
      </c>
      <c r="C348" s="17" t="s">
        <v>87</v>
      </c>
      <c r="D348" s="17" t="s">
        <v>4420</v>
      </c>
      <c r="E348" s="17" t="s">
        <v>1613</v>
      </c>
      <c r="F348" s="17" t="s">
        <v>4421</v>
      </c>
      <c r="G348" s="17" t="s">
        <v>4422</v>
      </c>
      <c r="H348" s="17" t="s">
        <v>3343</v>
      </c>
      <c r="I348" s="19" t="s">
        <v>95</v>
      </c>
      <c r="J348" s="24"/>
      <c r="K348" s="20" t="str">
        <f t="shared" si="15"/>
        <v/>
      </c>
      <c r="L348" s="20" t="str">
        <f>IF(C348="","",IF(COUNTIF('01_rules'!$A$2:$A$39,C348)=0,"rule 없음",""))</f>
        <v/>
      </c>
      <c r="M348" s="20" t="str">
        <f t="shared" si="16"/>
        <v/>
      </c>
      <c r="N348" s="20" t="str">
        <f t="shared" si="17"/>
        <v/>
      </c>
    </row>
    <row r="349" spans="1:14" ht="23.25" customHeight="1">
      <c r="A349" s="17" t="s">
        <v>4423</v>
      </c>
      <c r="B349" s="17" t="s">
        <v>264</v>
      </c>
      <c r="C349" s="17" t="s">
        <v>87</v>
      </c>
      <c r="D349" s="17" t="s">
        <v>4424</v>
      </c>
      <c r="E349" s="17" t="s">
        <v>1616</v>
      </c>
      <c r="F349" s="17" t="s">
        <v>3129</v>
      </c>
      <c r="G349" s="17" t="s">
        <v>4425</v>
      </c>
      <c r="H349" s="17" t="s">
        <v>3343</v>
      </c>
      <c r="I349" s="19" t="s">
        <v>95</v>
      </c>
      <c r="J349" s="24"/>
      <c r="K349" s="20" t="str">
        <f t="shared" si="15"/>
        <v/>
      </c>
      <c r="L349" s="20" t="str">
        <f>IF(C349="","",IF(COUNTIF('01_rules'!$A$2:$A$39,C349)=0,"rule 없음",""))</f>
        <v/>
      </c>
      <c r="M349" s="20" t="str">
        <f t="shared" si="16"/>
        <v/>
      </c>
      <c r="N349" s="20" t="str">
        <f t="shared" si="17"/>
        <v/>
      </c>
    </row>
    <row r="350" spans="1:14" ht="15" customHeight="1">
      <c r="A350" s="17" t="s">
        <v>4426</v>
      </c>
      <c r="B350" s="17" t="s">
        <v>264</v>
      </c>
      <c r="C350" s="17" t="s">
        <v>87</v>
      </c>
      <c r="D350" s="17" t="s">
        <v>4427</v>
      </c>
      <c r="E350" s="17" t="s">
        <v>1619</v>
      </c>
      <c r="F350" s="17" t="s">
        <v>3133</v>
      </c>
      <c r="G350" s="17" t="s">
        <v>4428</v>
      </c>
      <c r="H350" s="17" t="s">
        <v>3343</v>
      </c>
      <c r="I350" s="19" t="s">
        <v>95</v>
      </c>
      <c r="J350" s="24"/>
      <c r="K350" s="20" t="str">
        <f t="shared" si="15"/>
        <v/>
      </c>
      <c r="L350" s="20" t="str">
        <f>IF(C350="","",IF(COUNTIF('01_rules'!$A$2:$A$39,C350)=0,"rule 없음",""))</f>
        <v/>
      </c>
      <c r="M350" s="20" t="str">
        <f t="shared" si="16"/>
        <v/>
      </c>
      <c r="N350" s="20" t="str">
        <f t="shared" si="17"/>
        <v/>
      </c>
    </row>
    <row r="351" spans="1:14" ht="15" customHeight="1">
      <c r="A351" s="17" t="s">
        <v>4429</v>
      </c>
      <c r="B351" s="17" t="s">
        <v>264</v>
      </c>
      <c r="C351" s="17" t="s">
        <v>87</v>
      </c>
      <c r="D351" s="17" t="s">
        <v>4430</v>
      </c>
      <c r="E351" s="17" t="s">
        <v>1622</v>
      </c>
      <c r="F351" s="17" t="s">
        <v>3137</v>
      </c>
      <c r="G351" s="17" t="s">
        <v>4431</v>
      </c>
      <c r="H351" s="17" t="s">
        <v>3343</v>
      </c>
      <c r="I351" s="19" t="s">
        <v>95</v>
      </c>
      <c r="J351" s="24"/>
      <c r="K351" s="20" t="str">
        <f t="shared" si="15"/>
        <v/>
      </c>
      <c r="L351" s="20" t="str">
        <f>IF(C351="","",IF(COUNTIF('01_rules'!$A$2:$A$39,C351)=0,"rule 없음",""))</f>
        <v/>
      </c>
      <c r="M351" s="20" t="str">
        <f t="shared" si="16"/>
        <v/>
      </c>
      <c r="N351" s="20" t="str">
        <f t="shared" si="17"/>
        <v/>
      </c>
    </row>
    <row r="352" spans="1:14" ht="15" customHeight="1">
      <c r="A352" s="17" t="s">
        <v>4432</v>
      </c>
      <c r="B352" s="17" t="s">
        <v>264</v>
      </c>
      <c r="C352" s="17" t="s">
        <v>262</v>
      </c>
      <c r="D352" s="17" t="s">
        <v>4433</v>
      </c>
      <c r="E352" s="17" t="s">
        <v>1625</v>
      </c>
      <c r="F352" s="17" t="s">
        <v>4434</v>
      </c>
      <c r="G352" s="17" t="s">
        <v>4435</v>
      </c>
      <c r="H352" s="17" t="s">
        <v>4436</v>
      </c>
      <c r="I352" s="19" t="s">
        <v>95</v>
      </c>
      <c r="J352" s="24"/>
      <c r="K352" s="20" t="str">
        <f t="shared" si="15"/>
        <v/>
      </c>
      <c r="L352" s="20" t="str">
        <f>IF(C352="","",IF(COUNTIF('01_rules'!$A$2:$A$39,C352)=0,"rule 없음",""))</f>
        <v/>
      </c>
      <c r="M352" s="20" t="str">
        <f t="shared" si="16"/>
        <v/>
      </c>
      <c r="N352" s="20" t="str">
        <f t="shared" si="17"/>
        <v/>
      </c>
    </row>
    <row r="353" spans="1:14" ht="15" customHeight="1">
      <c r="A353" s="17" t="s">
        <v>4437</v>
      </c>
      <c r="B353" s="17" t="s">
        <v>264</v>
      </c>
      <c r="C353" s="17" t="s">
        <v>262</v>
      </c>
      <c r="D353" s="17" t="s">
        <v>4438</v>
      </c>
      <c r="E353" s="17" t="s">
        <v>1628</v>
      </c>
      <c r="F353" s="17" t="s">
        <v>4435</v>
      </c>
      <c r="G353" s="17" t="s">
        <v>4439</v>
      </c>
      <c r="H353" s="17" t="s">
        <v>4436</v>
      </c>
      <c r="I353" s="19" t="s">
        <v>95</v>
      </c>
      <c r="J353" s="24"/>
      <c r="K353" s="20" t="str">
        <f t="shared" si="15"/>
        <v/>
      </c>
      <c r="L353" s="20" t="str">
        <f>IF(C353="","",IF(COUNTIF('01_rules'!$A$2:$A$39,C353)=0,"rule 없음",""))</f>
        <v/>
      </c>
      <c r="M353" s="20" t="str">
        <f t="shared" si="16"/>
        <v/>
      </c>
      <c r="N353" s="20" t="str">
        <f t="shared" si="17"/>
        <v/>
      </c>
    </row>
    <row r="354" spans="1:14" ht="15" customHeight="1">
      <c r="A354" s="17" t="s">
        <v>4440</v>
      </c>
      <c r="B354" s="17" t="s">
        <v>264</v>
      </c>
      <c r="C354" s="17" t="s">
        <v>262</v>
      </c>
      <c r="D354" s="17" t="s">
        <v>4441</v>
      </c>
      <c r="E354" s="17" t="s">
        <v>1631</v>
      </c>
      <c r="F354" s="17" t="s">
        <v>4434</v>
      </c>
      <c r="G354" s="17" t="s">
        <v>4435</v>
      </c>
      <c r="H354" s="17" t="s">
        <v>4436</v>
      </c>
      <c r="I354" s="19" t="s">
        <v>95</v>
      </c>
      <c r="J354" s="24"/>
      <c r="K354" s="20" t="str">
        <f t="shared" si="15"/>
        <v/>
      </c>
      <c r="L354" s="20" t="str">
        <f>IF(C354="","",IF(COUNTIF('01_rules'!$A$2:$A$39,C354)=0,"rule 없음",""))</f>
        <v/>
      </c>
      <c r="M354" s="20" t="str">
        <f t="shared" si="16"/>
        <v/>
      </c>
      <c r="N354" s="20" t="str">
        <f t="shared" si="17"/>
        <v/>
      </c>
    </row>
    <row r="355" spans="1:14" ht="15" customHeight="1">
      <c r="A355" s="17" t="s">
        <v>4442</v>
      </c>
      <c r="B355" s="17" t="s">
        <v>264</v>
      </c>
      <c r="C355" s="17" t="s">
        <v>262</v>
      </c>
      <c r="D355" s="17" t="s">
        <v>4443</v>
      </c>
      <c r="E355" s="17" t="s">
        <v>1634</v>
      </c>
      <c r="F355" s="17" t="s">
        <v>4435</v>
      </c>
      <c r="G355" s="17" t="s">
        <v>4439</v>
      </c>
      <c r="H355" s="17" t="s">
        <v>4436</v>
      </c>
      <c r="I355" s="19" t="s">
        <v>95</v>
      </c>
      <c r="J355" s="24"/>
      <c r="K355" s="20" t="str">
        <f t="shared" si="15"/>
        <v/>
      </c>
      <c r="L355" s="20" t="str">
        <f>IF(C355="","",IF(COUNTIF('01_rules'!$A$2:$A$39,C355)=0,"rule 없음",""))</f>
        <v/>
      </c>
      <c r="M355" s="20" t="str">
        <f t="shared" si="16"/>
        <v/>
      </c>
      <c r="N355" s="20" t="str">
        <f t="shared" si="17"/>
        <v/>
      </c>
    </row>
    <row r="356" spans="1:14" ht="15" customHeight="1">
      <c r="A356" s="17" t="s">
        <v>4444</v>
      </c>
      <c r="B356" s="17" t="s">
        <v>264</v>
      </c>
      <c r="C356" s="17" t="s">
        <v>262</v>
      </c>
      <c r="D356" s="17" t="s">
        <v>4445</v>
      </c>
      <c r="E356" s="17" t="s">
        <v>1637</v>
      </c>
      <c r="F356" s="17" t="s">
        <v>4435</v>
      </c>
      <c r="G356" s="17" t="s">
        <v>4446</v>
      </c>
      <c r="H356" s="17" t="s">
        <v>4436</v>
      </c>
      <c r="I356" s="19" t="s">
        <v>95</v>
      </c>
      <c r="J356" s="24"/>
      <c r="K356" s="20" t="str">
        <f t="shared" si="15"/>
        <v/>
      </c>
      <c r="L356" s="20" t="str">
        <f>IF(C356="","",IF(COUNTIF('01_rules'!$A$2:$A$39,C356)=0,"rule 없음",""))</f>
        <v/>
      </c>
      <c r="M356" s="20" t="str">
        <f t="shared" si="16"/>
        <v/>
      </c>
      <c r="N356" s="20" t="str">
        <f t="shared" si="17"/>
        <v/>
      </c>
    </row>
    <row r="357" spans="1:14" ht="15" customHeight="1">
      <c r="A357" s="17" t="s">
        <v>4447</v>
      </c>
      <c r="B357" s="17" t="s">
        <v>264</v>
      </c>
      <c r="C357" s="17" t="s">
        <v>310</v>
      </c>
      <c r="D357" s="17" t="s">
        <v>4448</v>
      </c>
      <c r="E357" s="17" t="s">
        <v>1640</v>
      </c>
      <c r="F357" s="17" t="s">
        <v>3397</v>
      </c>
      <c r="G357" s="17" t="s">
        <v>3396</v>
      </c>
      <c r="H357" s="17" t="s">
        <v>3398</v>
      </c>
      <c r="I357" s="19" t="s">
        <v>95</v>
      </c>
      <c r="J357" s="24"/>
      <c r="K357" s="20" t="str">
        <f t="shared" si="15"/>
        <v/>
      </c>
      <c r="L357" s="20" t="str">
        <f>IF(C357="","",IF(COUNTIF('01_rules'!$A$2:$A$39,C357)=0,"rule 없음",""))</f>
        <v/>
      </c>
      <c r="M357" s="20" t="str">
        <f t="shared" si="16"/>
        <v/>
      </c>
      <c r="N357" s="20" t="str">
        <f t="shared" si="17"/>
        <v/>
      </c>
    </row>
    <row r="358" spans="1:14" ht="15" customHeight="1">
      <c r="A358" s="17" t="s">
        <v>4449</v>
      </c>
      <c r="B358" s="17" t="s">
        <v>264</v>
      </c>
      <c r="C358" s="17" t="s">
        <v>262</v>
      </c>
      <c r="D358" s="17" t="s">
        <v>4450</v>
      </c>
      <c r="E358" s="17" t="s">
        <v>1643</v>
      </c>
      <c r="F358" s="17" t="s">
        <v>4435</v>
      </c>
      <c r="G358" s="17" t="s">
        <v>4439</v>
      </c>
      <c r="H358" s="17" t="s">
        <v>4451</v>
      </c>
      <c r="I358" s="19" t="s">
        <v>95</v>
      </c>
      <c r="J358" s="24"/>
      <c r="K358" s="20" t="str">
        <f t="shared" si="15"/>
        <v/>
      </c>
      <c r="L358" s="20" t="str">
        <f>IF(C358="","",IF(COUNTIF('01_rules'!$A$2:$A$39,C358)=0,"rule 없음",""))</f>
        <v/>
      </c>
      <c r="M358" s="20" t="str">
        <f t="shared" si="16"/>
        <v/>
      </c>
      <c r="N358" s="20" t="str">
        <f t="shared" si="17"/>
        <v/>
      </c>
    </row>
    <row r="359" spans="1:14" ht="15" customHeight="1">
      <c r="A359" s="17" t="s">
        <v>4452</v>
      </c>
      <c r="B359" s="17" t="s">
        <v>264</v>
      </c>
      <c r="C359" s="17" t="s">
        <v>269</v>
      </c>
      <c r="D359" s="17" t="s">
        <v>4453</v>
      </c>
      <c r="E359" s="17" t="s">
        <v>1646</v>
      </c>
      <c r="F359" s="17" t="s">
        <v>4454</v>
      </c>
      <c r="G359" s="17" t="s">
        <v>4455</v>
      </c>
      <c r="H359" s="17" t="s">
        <v>4456</v>
      </c>
      <c r="I359" s="19" t="s">
        <v>95</v>
      </c>
      <c r="J359" s="24"/>
      <c r="K359" s="20" t="str">
        <f t="shared" si="15"/>
        <v/>
      </c>
      <c r="L359" s="20" t="str">
        <f>IF(C359="","",IF(COUNTIF('01_rules'!$A$2:$A$39,C359)=0,"rule 없음",""))</f>
        <v/>
      </c>
      <c r="M359" s="20" t="str">
        <f t="shared" si="16"/>
        <v/>
      </c>
      <c r="N359" s="20" t="str">
        <f t="shared" si="17"/>
        <v/>
      </c>
    </row>
    <row r="360" spans="1:14" ht="15" customHeight="1">
      <c r="A360" s="17" t="s">
        <v>4457</v>
      </c>
      <c r="B360" s="17" t="s">
        <v>264</v>
      </c>
      <c r="C360" s="17" t="s">
        <v>262</v>
      </c>
      <c r="D360" s="17" t="s">
        <v>4458</v>
      </c>
      <c r="E360" s="17" t="s">
        <v>1649</v>
      </c>
      <c r="F360" s="17" t="s">
        <v>4435</v>
      </c>
      <c r="G360" s="17" t="s">
        <v>4434</v>
      </c>
      <c r="H360" s="17" t="s">
        <v>4459</v>
      </c>
      <c r="I360" s="19" t="s">
        <v>95</v>
      </c>
      <c r="J360" s="24"/>
      <c r="K360" s="20" t="str">
        <f t="shared" si="15"/>
        <v/>
      </c>
      <c r="L360" s="20" t="str">
        <f>IF(C360="","",IF(COUNTIF('01_rules'!$A$2:$A$39,C360)=0,"rule 없음",""))</f>
        <v/>
      </c>
      <c r="M360" s="20" t="str">
        <f t="shared" si="16"/>
        <v/>
      </c>
      <c r="N360" s="20" t="str">
        <f t="shared" si="17"/>
        <v/>
      </c>
    </row>
    <row r="361" spans="1:14" ht="15" customHeight="1">
      <c r="A361" s="17" t="s">
        <v>4460</v>
      </c>
      <c r="B361" s="17" t="s">
        <v>264</v>
      </c>
      <c r="C361" s="17" t="s">
        <v>269</v>
      </c>
      <c r="D361" s="17" t="s">
        <v>4461</v>
      </c>
      <c r="E361" s="17" t="s">
        <v>1652</v>
      </c>
      <c r="F361" s="17" t="s">
        <v>4454</v>
      </c>
      <c r="G361" s="17" t="s">
        <v>4455</v>
      </c>
      <c r="H361" s="17" t="s">
        <v>4456</v>
      </c>
      <c r="I361" s="19" t="s">
        <v>95</v>
      </c>
      <c r="J361" s="24"/>
      <c r="K361" s="20" t="str">
        <f t="shared" si="15"/>
        <v/>
      </c>
      <c r="L361" s="20" t="str">
        <f>IF(C361="","",IF(COUNTIF('01_rules'!$A$2:$A$39,C361)=0,"rule 없음",""))</f>
        <v/>
      </c>
      <c r="M361" s="20" t="str">
        <f t="shared" si="16"/>
        <v/>
      </c>
      <c r="N361" s="20" t="str">
        <f t="shared" si="17"/>
        <v/>
      </c>
    </row>
    <row r="362" spans="1:14" ht="15" customHeight="1">
      <c r="A362" s="17" t="s">
        <v>4462</v>
      </c>
      <c r="B362" s="17" t="s">
        <v>277</v>
      </c>
      <c r="C362" s="17" t="s">
        <v>297</v>
      </c>
      <c r="D362" s="17" t="s">
        <v>4463</v>
      </c>
      <c r="E362" s="17" t="s">
        <v>1655</v>
      </c>
      <c r="F362" s="17" t="s">
        <v>3180</v>
      </c>
      <c r="G362" s="17" t="s">
        <v>4464</v>
      </c>
      <c r="H362" s="17" t="s">
        <v>4465</v>
      </c>
      <c r="I362" s="19" t="s">
        <v>95</v>
      </c>
      <c r="J362" s="24"/>
      <c r="K362" s="20" t="str">
        <f t="shared" si="15"/>
        <v/>
      </c>
      <c r="L362" s="20" t="str">
        <f>IF(C362="","",IF(COUNTIF('01_rules'!$A$2:$A$39,C362)=0,"rule 없음",""))</f>
        <v/>
      </c>
      <c r="M362" s="20" t="str">
        <f t="shared" si="16"/>
        <v/>
      </c>
      <c r="N362" s="20" t="str">
        <f t="shared" si="17"/>
        <v/>
      </c>
    </row>
    <row r="363" spans="1:14" ht="23.25" customHeight="1">
      <c r="A363" s="17" t="s">
        <v>4466</v>
      </c>
      <c r="B363" s="17" t="s">
        <v>277</v>
      </c>
      <c r="C363" s="17" t="s">
        <v>297</v>
      </c>
      <c r="D363" s="17" t="s">
        <v>4467</v>
      </c>
      <c r="E363" s="17" t="s">
        <v>1658</v>
      </c>
      <c r="F363" s="17" t="s">
        <v>3184</v>
      </c>
      <c r="G363" s="17" t="s">
        <v>4468</v>
      </c>
      <c r="H363" s="17" t="s">
        <v>4469</v>
      </c>
      <c r="I363" s="19" t="s">
        <v>95</v>
      </c>
      <c r="J363" s="24"/>
      <c r="K363" s="20" t="str">
        <f t="shared" si="15"/>
        <v/>
      </c>
      <c r="L363" s="20" t="str">
        <f>IF(C363="","",IF(COUNTIF('01_rules'!$A$2:$A$39,C363)=0,"rule 없음",""))</f>
        <v/>
      </c>
      <c r="M363" s="20" t="str">
        <f t="shared" si="16"/>
        <v/>
      </c>
      <c r="N363" s="20" t="str">
        <f t="shared" si="17"/>
        <v/>
      </c>
    </row>
    <row r="364" spans="1:14" ht="23.25" customHeight="1">
      <c r="A364" s="17" t="s">
        <v>4470</v>
      </c>
      <c r="B364" s="17" t="s">
        <v>277</v>
      </c>
      <c r="C364" s="17" t="s">
        <v>141</v>
      </c>
      <c r="D364" s="17" t="s">
        <v>4471</v>
      </c>
      <c r="E364" s="17" t="s">
        <v>1661</v>
      </c>
      <c r="F364" s="17" t="s">
        <v>3593</v>
      </c>
      <c r="G364" s="17" t="s">
        <v>3594</v>
      </c>
      <c r="H364" s="17" t="s">
        <v>3595</v>
      </c>
      <c r="I364" s="19" t="s">
        <v>95</v>
      </c>
      <c r="J364" s="24"/>
      <c r="K364" s="20" t="str">
        <f t="shared" si="15"/>
        <v/>
      </c>
      <c r="L364" s="20" t="str">
        <f>IF(C364="","",IF(COUNTIF('01_rules'!$A$2:$A$39,C364)=0,"rule 없음",""))</f>
        <v/>
      </c>
      <c r="M364" s="20" t="str">
        <f t="shared" si="16"/>
        <v/>
      </c>
      <c r="N364" s="20" t="str">
        <f t="shared" si="17"/>
        <v/>
      </c>
    </row>
    <row r="365" spans="1:14" ht="15" customHeight="1">
      <c r="A365" s="17" t="s">
        <v>4472</v>
      </c>
      <c r="B365" s="17" t="s">
        <v>277</v>
      </c>
      <c r="C365" s="17" t="s">
        <v>275</v>
      </c>
      <c r="D365" s="17" t="s">
        <v>281</v>
      </c>
      <c r="E365" s="17" t="s">
        <v>1664</v>
      </c>
      <c r="F365" s="17" t="s">
        <v>4473</v>
      </c>
      <c r="G365" s="17" t="s">
        <v>4474</v>
      </c>
      <c r="H365" s="17" t="s">
        <v>4475</v>
      </c>
      <c r="I365" s="19" t="s">
        <v>95</v>
      </c>
      <c r="J365" s="24"/>
      <c r="K365" s="20" t="str">
        <f t="shared" si="15"/>
        <v/>
      </c>
      <c r="L365" s="20" t="str">
        <f>IF(C365="","",IF(COUNTIF('01_rules'!$A$2:$A$39,C365)=0,"rule 없음",""))</f>
        <v/>
      </c>
      <c r="M365" s="20" t="str">
        <f t="shared" si="16"/>
        <v/>
      </c>
      <c r="N365" s="20" t="str">
        <f t="shared" si="17"/>
        <v/>
      </c>
    </row>
    <row r="366" spans="1:14" ht="23.25" customHeight="1">
      <c r="A366" s="17" t="s">
        <v>4476</v>
      </c>
      <c r="B366" s="17" t="s">
        <v>277</v>
      </c>
      <c r="C366" s="17" t="s">
        <v>334</v>
      </c>
      <c r="D366" s="17" t="s">
        <v>4477</v>
      </c>
      <c r="E366" s="17" t="s">
        <v>1667</v>
      </c>
      <c r="F366" s="17" t="s">
        <v>3396</v>
      </c>
      <c r="G366" s="17" t="s">
        <v>3397</v>
      </c>
      <c r="H366" s="17" t="s">
        <v>3398</v>
      </c>
      <c r="I366" s="19" t="s">
        <v>95</v>
      </c>
      <c r="J366" s="24"/>
      <c r="K366" s="20" t="str">
        <f t="shared" si="15"/>
        <v/>
      </c>
      <c r="L366" s="20" t="str">
        <f>IF(C366="","",IF(COUNTIF('01_rules'!$A$2:$A$39,C366)=0,"rule 없음",""))</f>
        <v/>
      </c>
      <c r="M366" s="20" t="str">
        <f t="shared" si="16"/>
        <v/>
      </c>
      <c r="N366" s="20" t="str">
        <f t="shared" si="17"/>
        <v/>
      </c>
    </row>
    <row r="367" spans="1:14" ht="23.25" customHeight="1">
      <c r="A367" s="17" t="s">
        <v>4478</v>
      </c>
      <c r="B367" s="17" t="s">
        <v>277</v>
      </c>
      <c r="C367" s="17" t="s">
        <v>141</v>
      </c>
      <c r="D367" s="17" t="s">
        <v>4479</v>
      </c>
      <c r="E367" s="17" t="s">
        <v>1670</v>
      </c>
      <c r="F367" s="17" t="s">
        <v>3593</v>
      </c>
      <c r="G367" s="17" t="s">
        <v>3594</v>
      </c>
      <c r="H367" s="17" t="s">
        <v>3595</v>
      </c>
      <c r="I367" s="19" t="s">
        <v>95</v>
      </c>
      <c r="J367" s="24"/>
      <c r="K367" s="20" t="str">
        <f t="shared" si="15"/>
        <v/>
      </c>
      <c r="L367" s="20" t="str">
        <f>IF(C367="","",IF(COUNTIF('01_rules'!$A$2:$A$39,C367)=0,"rule 없음",""))</f>
        <v/>
      </c>
      <c r="M367" s="20" t="str">
        <f t="shared" si="16"/>
        <v/>
      </c>
      <c r="N367" s="20" t="str">
        <f t="shared" si="17"/>
        <v/>
      </c>
    </row>
    <row r="368" spans="1:14" ht="15" customHeight="1">
      <c r="A368" s="17" t="s">
        <v>4480</v>
      </c>
      <c r="B368" s="17" t="s">
        <v>277</v>
      </c>
      <c r="C368" s="17" t="s">
        <v>334</v>
      </c>
      <c r="D368" s="17" t="s">
        <v>4481</v>
      </c>
      <c r="E368" s="17" t="s">
        <v>1673</v>
      </c>
      <c r="F368" s="17" t="s">
        <v>3396</v>
      </c>
      <c r="G368" s="17" t="s">
        <v>3397</v>
      </c>
      <c r="H368" s="17" t="s">
        <v>3398</v>
      </c>
      <c r="I368" s="19" t="s">
        <v>95</v>
      </c>
      <c r="J368" s="24"/>
      <c r="K368" s="20" t="str">
        <f t="shared" si="15"/>
        <v/>
      </c>
      <c r="L368" s="20" t="str">
        <f>IF(C368="","",IF(COUNTIF('01_rules'!$A$2:$A$39,C368)=0,"rule 없음",""))</f>
        <v/>
      </c>
      <c r="M368" s="20" t="str">
        <f t="shared" si="16"/>
        <v/>
      </c>
      <c r="N368" s="20" t="str">
        <f t="shared" si="17"/>
        <v/>
      </c>
    </row>
    <row r="369" spans="1:14" ht="23.25" customHeight="1">
      <c r="A369" s="17" t="s">
        <v>4482</v>
      </c>
      <c r="B369" s="17" t="s">
        <v>277</v>
      </c>
      <c r="C369" s="17" t="s">
        <v>334</v>
      </c>
      <c r="D369" s="17" t="s">
        <v>4483</v>
      </c>
      <c r="E369" s="17" t="s">
        <v>1676</v>
      </c>
      <c r="F369" s="17" t="s">
        <v>3396</v>
      </c>
      <c r="G369" s="17" t="s">
        <v>3397</v>
      </c>
      <c r="H369" s="17" t="s">
        <v>3398</v>
      </c>
      <c r="I369" s="19" t="s">
        <v>95</v>
      </c>
      <c r="J369" s="24"/>
      <c r="K369" s="20" t="str">
        <f t="shared" si="15"/>
        <v/>
      </c>
      <c r="L369" s="20" t="str">
        <f>IF(C369="","",IF(COUNTIF('01_rules'!$A$2:$A$39,C369)=0,"rule 없음",""))</f>
        <v/>
      </c>
      <c r="M369" s="20" t="str">
        <f t="shared" si="16"/>
        <v/>
      </c>
      <c r="N369" s="20" t="str">
        <f t="shared" si="17"/>
        <v/>
      </c>
    </row>
    <row r="370" spans="1:14" ht="15" customHeight="1">
      <c r="A370" s="17" t="s">
        <v>4484</v>
      </c>
      <c r="B370" s="17" t="s">
        <v>277</v>
      </c>
      <c r="C370" s="17" t="s">
        <v>334</v>
      </c>
      <c r="D370" s="17" t="s">
        <v>4485</v>
      </c>
      <c r="E370" s="17" t="s">
        <v>1679</v>
      </c>
      <c r="F370" s="17" t="s">
        <v>3396</v>
      </c>
      <c r="G370" s="17" t="s">
        <v>3397</v>
      </c>
      <c r="H370" s="17" t="s">
        <v>3398</v>
      </c>
      <c r="I370" s="19" t="s">
        <v>95</v>
      </c>
      <c r="J370" s="24"/>
      <c r="K370" s="20" t="str">
        <f t="shared" si="15"/>
        <v/>
      </c>
      <c r="L370" s="20" t="str">
        <f>IF(C370="","",IF(COUNTIF('01_rules'!$A$2:$A$39,C370)=0,"rule 없음",""))</f>
        <v/>
      </c>
      <c r="M370" s="20" t="str">
        <f t="shared" si="16"/>
        <v/>
      </c>
      <c r="N370" s="20" t="str">
        <f t="shared" si="17"/>
        <v/>
      </c>
    </row>
    <row r="371" spans="1:14" ht="15" customHeight="1">
      <c r="A371" s="17" t="s">
        <v>4486</v>
      </c>
      <c r="B371" s="17" t="s">
        <v>277</v>
      </c>
      <c r="C371" s="17" t="s">
        <v>334</v>
      </c>
      <c r="D371" s="17" t="s">
        <v>4487</v>
      </c>
      <c r="E371" s="17" t="s">
        <v>1682</v>
      </c>
      <c r="F371" s="17" t="s">
        <v>3396</v>
      </c>
      <c r="G371" s="17" t="s">
        <v>3397</v>
      </c>
      <c r="H371" s="17" t="s">
        <v>3398</v>
      </c>
      <c r="I371" s="19" t="s">
        <v>95</v>
      </c>
      <c r="J371" s="24"/>
      <c r="K371" s="20" t="str">
        <f t="shared" si="15"/>
        <v/>
      </c>
      <c r="L371" s="20" t="str">
        <f>IF(C371="","",IF(COUNTIF('01_rules'!$A$2:$A$39,C371)=0,"rule 없음",""))</f>
        <v/>
      </c>
      <c r="M371" s="20" t="str">
        <f t="shared" si="16"/>
        <v/>
      </c>
      <c r="N371" s="20" t="str">
        <f t="shared" si="17"/>
        <v/>
      </c>
    </row>
    <row r="372" spans="1:14" ht="15" customHeight="1">
      <c r="A372" s="17" t="s">
        <v>4488</v>
      </c>
      <c r="B372" s="17" t="s">
        <v>277</v>
      </c>
      <c r="C372" s="17" t="s">
        <v>334</v>
      </c>
      <c r="D372" s="17" t="s">
        <v>4489</v>
      </c>
      <c r="E372" s="17" t="s">
        <v>1685</v>
      </c>
      <c r="F372" s="17" t="s">
        <v>3396</v>
      </c>
      <c r="G372" s="17" t="s">
        <v>3397</v>
      </c>
      <c r="H372" s="17" t="s">
        <v>3398</v>
      </c>
      <c r="I372" s="19" t="s">
        <v>95</v>
      </c>
      <c r="J372" s="24"/>
      <c r="K372" s="20" t="str">
        <f t="shared" si="15"/>
        <v/>
      </c>
      <c r="L372" s="20" t="str">
        <f>IF(C372="","",IF(COUNTIF('01_rules'!$A$2:$A$39,C372)=0,"rule 없음",""))</f>
        <v/>
      </c>
      <c r="M372" s="20" t="str">
        <f t="shared" si="16"/>
        <v/>
      </c>
      <c r="N372" s="20" t="str">
        <f t="shared" si="17"/>
        <v/>
      </c>
    </row>
    <row r="373" spans="1:14" ht="15" customHeight="1">
      <c r="A373" s="17" t="s">
        <v>4490</v>
      </c>
      <c r="B373" s="17" t="s">
        <v>277</v>
      </c>
      <c r="C373" s="17" t="s">
        <v>334</v>
      </c>
      <c r="D373" s="17" t="s">
        <v>4491</v>
      </c>
      <c r="E373" s="17" t="s">
        <v>1688</v>
      </c>
      <c r="F373" s="17" t="s">
        <v>3396</v>
      </c>
      <c r="G373" s="17" t="s">
        <v>3397</v>
      </c>
      <c r="H373" s="17" t="s">
        <v>3398</v>
      </c>
      <c r="I373" s="19" t="s">
        <v>95</v>
      </c>
      <c r="J373" s="24"/>
      <c r="K373" s="20" t="str">
        <f t="shared" si="15"/>
        <v/>
      </c>
      <c r="L373" s="20" t="str">
        <f>IF(C373="","",IF(COUNTIF('01_rules'!$A$2:$A$39,C373)=0,"rule 없음",""))</f>
        <v/>
      </c>
      <c r="M373" s="20" t="str">
        <f t="shared" si="16"/>
        <v/>
      </c>
      <c r="N373" s="20" t="str">
        <f t="shared" si="17"/>
        <v/>
      </c>
    </row>
    <row r="374" spans="1:14" ht="15" customHeight="1">
      <c r="A374" s="17" t="s">
        <v>4492</v>
      </c>
      <c r="B374" s="17" t="s">
        <v>277</v>
      </c>
      <c r="C374" s="17" t="s">
        <v>334</v>
      </c>
      <c r="D374" s="17" t="s">
        <v>4493</v>
      </c>
      <c r="E374" s="17" t="s">
        <v>1691</v>
      </c>
      <c r="F374" s="17" t="s">
        <v>3396</v>
      </c>
      <c r="G374" s="17" t="s">
        <v>3397</v>
      </c>
      <c r="H374" s="17" t="s">
        <v>3398</v>
      </c>
      <c r="I374" s="19" t="s">
        <v>95</v>
      </c>
      <c r="J374" s="24"/>
      <c r="K374" s="20" t="str">
        <f t="shared" si="15"/>
        <v/>
      </c>
      <c r="L374" s="20" t="str">
        <f>IF(C374="","",IF(COUNTIF('01_rules'!$A$2:$A$39,C374)=0,"rule 없음",""))</f>
        <v/>
      </c>
      <c r="M374" s="20" t="str">
        <f t="shared" si="16"/>
        <v/>
      </c>
      <c r="N374" s="20" t="str">
        <f t="shared" si="17"/>
        <v/>
      </c>
    </row>
    <row r="375" spans="1:14" ht="15" customHeight="1">
      <c r="A375" s="17" t="s">
        <v>4494</v>
      </c>
      <c r="B375" s="17" t="s">
        <v>277</v>
      </c>
      <c r="C375" s="17" t="s">
        <v>334</v>
      </c>
      <c r="D375" s="17" t="s">
        <v>4495</v>
      </c>
      <c r="E375" s="17" t="s">
        <v>1694</v>
      </c>
      <c r="F375" s="17" t="s">
        <v>3396</v>
      </c>
      <c r="G375" s="17" t="s">
        <v>3397</v>
      </c>
      <c r="H375" s="17" t="s">
        <v>3398</v>
      </c>
      <c r="I375" s="19" t="s">
        <v>95</v>
      </c>
      <c r="J375" s="24"/>
      <c r="K375" s="20" t="str">
        <f t="shared" si="15"/>
        <v/>
      </c>
      <c r="L375" s="20" t="str">
        <f>IF(C375="","",IF(COUNTIF('01_rules'!$A$2:$A$39,C375)=0,"rule 없음",""))</f>
        <v/>
      </c>
      <c r="M375" s="20" t="str">
        <f t="shared" si="16"/>
        <v/>
      </c>
      <c r="N375" s="20" t="str">
        <f t="shared" si="17"/>
        <v/>
      </c>
    </row>
    <row r="376" spans="1:14" ht="15" customHeight="1">
      <c r="A376" s="17" t="s">
        <v>4496</v>
      </c>
      <c r="B376" s="17" t="s">
        <v>277</v>
      </c>
      <c r="C376" s="17" t="s">
        <v>208</v>
      </c>
      <c r="D376" s="17" t="s">
        <v>4497</v>
      </c>
      <c r="E376" s="17" t="s">
        <v>1697</v>
      </c>
      <c r="F376" s="17" t="s">
        <v>3235</v>
      </c>
      <c r="G376" s="17" t="s">
        <v>4498</v>
      </c>
      <c r="H376" s="17" t="s">
        <v>4499</v>
      </c>
      <c r="I376" s="19" t="s">
        <v>95</v>
      </c>
      <c r="J376" s="24"/>
      <c r="K376" s="20" t="str">
        <f t="shared" si="15"/>
        <v/>
      </c>
      <c r="L376" s="20" t="str">
        <f>IF(C376="","",IF(COUNTIF('01_rules'!$A$2:$A$39,C376)=0,"rule 없음",""))</f>
        <v/>
      </c>
      <c r="M376" s="20" t="str">
        <f t="shared" si="16"/>
        <v/>
      </c>
      <c r="N376" s="20" t="str">
        <f t="shared" si="17"/>
        <v/>
      </c>
    </row>
    <row r="377" spans="1:14" ht="15" customHeight="1">
      <c r="A377" s="17" t="s">
        <v>4500</v>
      </c>
      <c r="B377" s="17" t="s">
        <v>277</v>
      </c>
      <c r="C377" s="17" t="s">
        <v>275</v>
      </c>
      <c r="D377" s="17" t="s">
        <v>4501</v>
      </c>
      <c r="E377" s="17" t="s">
        <v>1700</v>
      </c>
      <c r="F377" s="17" t="s">
        <v>4473</v>
      </c>
      <c r="G377" s="17" t="s">
        <v>4474</v>
      </c>
      <c r="H377" s="17" t="s">
        <v>4475</v>
      </c>
      <c r="I377" s="19" t="s">
        <v>95</v>
      </c>
      <c r="J377" s="24"/>
      <c r="K377" s="20" t="str">
        <f t="shared" si="15"/>
        <v/>
      </c>
      <c r="L377" s="20" t="str">
        <f>IF(C377="","",IF(COUNTIF('01_rules'!$A$2:$A$39,C377)=0,"rule 없음",""))</f>
        <v/>
      </c>
      <c r="M377" s="20" t="str">
        <f t="shared" si="16"/>
        <v/>
      </c>
      <c r="N377" s="20" t="str">
        <f t="shared" si="17"/>
        <v/>
      </c>
    </row>
    <row r="378" spans="1:14" ht="15" customHeight="1">
      <c r="A378" s="17" t="s">
        <v>4502</v>
      </c>
      <c r="B378" s="17" t="s">
        <v>277</v>
      </c>
      <c r="C378" s="17" t="s">
        <v>310</v>
      </c>
      <c r="D378" s="17" t="s">
        <v>4503</v>
      </c>
      <c r="E378" s="17" t="s">
        <v>1703</v>
      </c>
      <c r="F378" s="17" t="s">
        <v>3397</v>
      </c>
      <c r="G378" s="17" t="s">
        <v>3396</v>
      </c>
      <c r="H378" s="17" t="s">
        <v>3398</v>
      </c>
      <c r="I378" s="19" t="s">
        <v>95</v>
      </c>
      <c r="J378" s="24"/>
      <c r="K378" s="20" t="str">
        <f t="shared" si="15"/>
        <v/>
      </c>
      <c r="L378" s="20" t="str">
        <f>IF(C378="","",IF(COUNTIF('01_rules'!$A$2:$A$39,C378)=0,"rule 없음",""))</f>
        <v/>
      </c>
      <c r="M378" s="20" t="str">
        <f t="shared" si="16"/>
        <v/>
      </c>
      <c r="N378" s="20" t="str">
        <f t="shared" si="17"/>
        <v/>
      </c>
    </row>
    <row r="379" spans="1:14" ht="15" customHeight="1">
      <c r="A379" s="17" t="s">
        <v>4504</v>
      </c>
      <c r="B379" s="17" t="s">
        <v>277</v>
      </c>
      <c r="C379" s="17" t="s">
        <v>334</v>
      </c>
      <c r="D379" s="17" t="s">
        <v>4505</v>
      </c>
      <c r="E379" s="17" t="s">
        <v>1706</v>
      </c>
      <c r="F379" s="17" t="s">
        <v>3396</v>
      </c>
      <c r="G379" s="17" t="s">
        <v>3397</v>
      </c>
      <c r="H379" s="17" t="s">
        <v>3398</v>
      </c>
      <c r="I379" s="19" t="s">
        <v>95</v>
      </c>
      <c r="J379" s="24"/>
      <c r="K379" s="20" t="str">
        <f t="shared" si="15"/>
        <v/>
      </c>
      <c r="L379" s="20" t="str">
        <f>IF(C379="","",IF(COUNTIF('01_rules'!$A$2:$A$39,C379)=0,"rule 없음",""))</f>
        <v/>
      </c>
      <c r="M379" s="20" t="str">
        <f t="shared" si="16"/>
        <v/>
      </c>
      <c r="N379" s="20" t="str">
        <f t="shared" si="17"/>
        <v/>
      </c>
    </row>
    <row r="380" spans="1:14" ht="15" customHeight="1">
      <c r="A380" s="17" t="s">
        <v>4506</v>
      </c>
      <c r="B380" s="17" t="s">
        <v>277</v>
      </c>
      <c r="C380" s="17" t="s">
        <v>334</v>
      </c>
      <c r="D380" s="17" t="s">
        <v>4507</v>
      </c>
      <c r="E380" s="17" t="s">
        <v>1709</v>
      </c>
      <c r="F380" s="17" t="s">
        <v>3396</v>
      </c>
      <c r="G380" s="17" t="s">
        <v>3397</v>
      </c>
      <c r="H380" s="17" t="s">
        <v>3398</v>
      </c>
      <c r="I380" s="19" t="s">
        <v>95</v>
      </c>
      <c r="J380" s="24"/>
      <c r="K380" s="20" t="str">
        <f t="shared" si="15"/>
        <v/>
      </c>
      <c r="L380" s="20" t="str">
        <f>IF(C380="","",IF(COUNTIF('01_rules'!$A$2:$A$39,C380)=0,"rule 없음",""))</f>
        <v/>
      </c>
      <c r="M380" s="20" t="str">
        <f t="shared" si="16"/>
        <v/>
      </c>
      <c r="N380" s="20" t="str">
        <f t="shared" si="17"/>
        <v/>
      </c>
    </row>
    <row r="381" spans="1:14" ht="15" customHeight="1">
      <c r="A381" s="17" t="s">
        <v>4508</v>
      </c>
      <c r="B381" s="17" t="s">
        <v>277</v>
      </c>
      <c r="C381" s="17" t="s">
        <v>334</v>
      </c>
      <c r="D381" s="17" t="s">
        <v>4509</v>
      </c>
      <c r="E381" s="17" t="s">
        <v>1712</v>
      </c>
      <c r="F381" s="17" t="s">
        <v>3396</v>
      </c>
      <c r="G381" s="17" t="s">
        <v>3397</v>
      </c>
      <c r="H381" s="17" t="s">
        <v>3398</v>
      </c>
      <c r="I381" s="19" t="s">
        <v>95</v>
      </c>
      <c r="J381" s="24"/>
      <c r="K381" s="20" t="str">
        <f t="shared" si="15"/>
        <v/>
      </c>
      <c r="L381" s="20" t="str">
        <f>IF(C381="","",IF(COUNTIF('01_rules'!$A$2:$A$39,C381)=0,"rule 없음",""))</f>
        <v/>
      </c>
      <c r="M381" s="20" t="str">
        <f t="shared" si="16"/>
        <v/>
      </c>
      <c r="N381" s="20" t="str">
        <f t="shared" si="17"/>
        <v/>
      </c>
    </row>
    <row r="382" spans="1:14" ht="15" customHeight="1">
      <c r="A382" s="17" t="s">
        <v>4510</v>
      </c>
      <c r="B382" s="17" t="s">
        <v>284</v>
      </c>
      <c r="C382" s="17" t="s">
        <v>282</v>
      </c>
      <c r="D382" s="17" t="s">
        <v>4511</v>
      </c>
      <c r="E382" s="17" t="s">
        <v>1715</v>
      </c>
      <c r="F382" s="17" t="s">
        <v>3836</v>
      </c>
      <c r="G382" s="17" t="s">
        <v>3837</v>
      </c>
      <c r="H382" s="17" t="s">
        <v>4512</v>
      </c>
      <c r="I382" s="19" t="s">
        <v>95</v>
      </c>
      <c r="J382" s="24"/>
      <c r="K382" s="20" t="str">
        <f t="shared" si="15"/>
        <v/>
      </c>
      <c r="L382" s="20" t="str">
        <f>IF(C382="","",IF(COUNTIF('01_rules'!$A$2:$A$39,C382)=0,"rule 없음",""))</f>
        <v/>
      </c>
      <c r="M382" s="20" t="str">
        <f t="shared" si="16"/>
        <v/>
      </c>
      <c r="N382" s="20" t="str">
        <f t="shared" si="17"/>
        <v/>
      </c>
    </row>
    <row r="383" spans="1:14" ht="15" customHeight="1">
      <c r="A383" s="17" t="s">
        <v>4513</v>
      </c>
      <c r="B383" s="17" t="s">
        <v>284</v>
      </c>
      <c r="C383" s="17" t="s">
        <v>282</v>
      </c>
      <c r="D383" s="17" t="s">
        <v>4514</v>
      </c>
      <c r="E383" s="17" t="s">
        <v>1718</v>
      </c>
      <c r="F383" s="17" t="s">
        <v>3836</v>
      </c>
      <c r="G383" s="17" t="s">
        <v>3837</v>
      </c>
      <c r="H383" s="17" t="s">
        <v>4512</v>
      </c>
      <c r="I383" s="19" t="s">
        <v>95</v>
      </c>
      <c r="J383" s="24"/>
      <c r="K383" s="20" t="str">
        <f t="shared" si="15"/>
        <v/>
      </c>
      <c r="L383" s="20" t="str">
        <f>IF(C383="","",IF(COUNTIF('01_rules'!$A$2:$A$39,C383)=0,"rule 없음",""))</f>
        <v/>
      </c>
      <c r="M383" s="20" t="str">
        <f t="shared" si="16"/>
        <v/>
      </c>
      <c r="N383" s="20" t="str">
        <f t="shared" si="17"/>
        <v/>
      </c>
    </row>
    <row r="384" spans="1:14" ht="23.25" customHeight="1">
      <c r="A384" s="17" t="s">
        <v>4515</v>
      </c>
      <c r="B384" s="17" t="s">
        <v>284</v>
      </c>
      <c r="C384" s="17" t="s">
        <v>282</v>
      </c>
      <c r="D384" s="17" t="s">
        <v>4516</v>
      </c>
      <c r="E384" s="17" t="s">
        <v>1721</v>
      </c>
      <c r="F384" s="17" t="s">
        <v>3836</v>
      </c>
      <c r="G384" s="17" t="s">
        <v>3837</v>
      </c>
      <c r="H384" s="17" t="s">
        <v>4512</v>
      </c>
      <c r="I384" s="19" t="s">
        <v>95</v>
      </c>
      <c r="J384" s="24"/>
      <c r="K384" s="20" t="str">
        <f t="shared" si="15"/>
        <v/>
      </c>
      <c r="L384" s="20" t="str">
        <f>IF(C384="","",IF(COUNTIF('01_rules'!$A$2:$A$39,C384)=0,"rule 없음",""))</f>
        <v/>
      </c>
      <c r="M384" s="20" t="str">
        <f t="shared" si="16"/>
        <v/>
      </c>
      <c r="N384" s="20" t="str">
        <f t="shared" si="17"/>
        <v/>
      </c>
    </row>
    <row r="385" spans="1:14" ht="15" customHeight="1">
      <c r="A385" s="17" t="s">
        <v>4517</v>
      </c>
      <c r="B385" s="17" t="s">
        <v>284</v>
      </c>
      <c r="C385" s="17" t="s">
        <v>282</v>
      </c>
      <c r="D385" s="17" t="s">
        <v>4518</v>
      </c>
      <c r="E385" s="17" t="s">
        <v>1724</v>
      </c>
      <c r="F385" s="17" t="s">
        <v>3837</v>
      </c>
      <c r="G385" s="17" t="s">
        <v>3836</v>
      </c>
      <c r="H385" s="17" t="s">
        <v>4512</v>
      </c>
      <c r="I385" s="19" t="s">
        <v>95</v>
      </c>
      <c r="J385" s="24"/>
      <c r="K385" s="20" t="str">
        <f t="shared" si="15"/>
        <v/>
      </c>
      <c r="L385" s="20" t="str">
        <f>IF(C385="","",IF(COUNTIF('01_rules'!$A$2:$A$39,C385)=0,"rule 없음",""))</f>
        <v/>
      </c>
      <c r="M385" s="20" t="str">
        <f t="shared" si="16"/>
        <v/>
      </c>
      <c r="N385" s="20" t="str">
        <f t="shared" si="17"/>
        <v/>
      </c>
    </row>
    <row r="386" spans="1:14" ht="15" customHeight="1">
      <c r="A386" s="17" t="s">
        <v>4519</v>
      </c>
      <c r="B386" s="17" t="s">
        <v>284</v>
      </c>
      <c r="C386" s="17" t="s">
        <v>282</v>
      </c>
      <c r="D386" s="17" t="s">
        <v>4520</v>
      </c>
      <c r="E386" s="17" t="s">
        <v>1727</v>
      </c>
      <c r="F386" s="17" t="s">
        <v>3837</v>
      </c>
      <c r="G386" s="17" t="s">
        <v>3836</v>
      </c>
      <c r="H386" s="17" t="s">
        <v>4512</v>
      </c>
      <c r="I386" s="19" t="s">
        <v>95</v>
      </c>
      <c r="J386" s="24"/>
      <c r="K386" s="20" t="str">
        <f t="shared" ref="K386:K401" si="18">IF(A386="","",IF(COUNTIF($A$2:$A$401,A386)&gt;1,"중복",""))</f>
        <v/>
      </c>
      <c r="L386" s="20" t="str">
        <f>IF(C386="","",IF(COUNTIF('01_rules'!$A$2:$A$39,C386)=0,"rule 없음",""))</f>
        <v/>
      </c>
      <c r="M386" s="20" t="str">
        <f t="shared" ref="M386:M401" si="19">IF(D386="","",IF(D386=E386,"error=correct",""))</f>
        <v/>
      </c>
      <c r="N386" s="20" t="str">
        <f t="shared" ref="N386:N401" si="20">IF(H386="","",IF(LEN(H386)-LEN(SUBSTITUTE(H386,";",""))&lt;&gt;2,"보기 3개 아님",""))</f>
        <v/>
      </c>
    </row>
    <row r="387" spans="1:14" ht="15" customHeight="1">
      <c r="A387" s="17" t="s">
        <v>4521</v>
      </c>
      <c r="B387" s="17" t="s">
        <v>284</v>
      </c>
      <c r="C387" s="17" t="s">
        <v>334</v>
      </c>
      <c r="D387" s="17" t="s">
        <v>4522</v>
      </c>
      <c r="E387" s="17" t="s">
        <v>1730</v>
      </c>
      <c r="F387" s="17" t="s">
        <v>3396</v>
      </c>
      <c r="G387" s="17" t="s">
        <v>3397</v>
      </c>
      <c r="H387" s="17" t="s">
        <v>3398</v>
      </c>
      <c r="I387" s="19" t="s">
        <v>95</v>
      </c>
      <c r="J387" s="24"/>
      <c r="K387" s="20" t="str">
        <f t="shared" si="18"/>
        <v/>
      </c>
      <c r="L387" s="20" t="str">
        <f>IF(C387="","",IF(COUNTIF('01_rules'!$A$2:$A$39,C387)=0,"rule 없음",""))</f>
        <v/>
      </c>
      <c r="M387" s="20" t="str">
        <f t="shared" si="19"/>
        <v/>
      </c>
      <c r="N387" s="20" t="str">
        <f t="shared" si="20"/>
        <v/>
      </c>
    </row>
    <row r="388" spans="1:14" ht="15" customHeight="1">
      <c r="A388" s="17" t="s">
        <v>4523</v>
      </c>
      <c r="B388" s="17" t="s">
        <v>284</v>
      </c>
      <c r="C388" s="17" t="s">
        <v>334</v>
      </c>
      <c r="D388" s="17" t="s">
        <v>4524</v>
      </c>
      <c r="E388" s="17" t="s">
        <v>1733</v>
      </c>
      <c r="F388" s="17" t="s">
        <v>3396</v>
      </c>
      <c r="G388" s="17" t="s">
        <v>3397</v>
      </c>
      <c r="H388" s="17" t="s">
        <v>3398</v>
      </c>
      <c r="I388" s="19" t="s">
        <v>95</v>
      </c>
      <c r="J388" s="24"/>
      <c r="K388" s="20" t="str">
        <f t="shared" si="18"/>
        <v/>
      </c>
      <c r="L388" s="20" t="str">
        <f>IF(C388="","",IF(COUNTIF('01_rules'!$A$2:$A$39,C388)=0,"rule 없음",""))</f>
        <v/>
      </c>
      <c r="M388" s="20" t="str">
        <f t="shared" si="19"/>
        <v/>
      </c>
      <c r="N388" s="20" t="str">
        <f t="shared" si="20"/>
        <v/>
      </c>
    </row>
    <row r="389" spans="1:14" ht="15" customHeight="1">
      <c r="A389" s="17" t="s">
        <v>4525</v>
      </c>
      <c r="B389" s="17" t="s">
        <v>284</v>
      </c>
      <c r="C389" s="17" t="s">
        <v>334</v>
      </c>
      <c r="D389" s="17" t="s">
        <v>4526</v>
      </c>
      <c r="E389" s="17" t="s">
        <v>1736</v>
      </c>
      <c r="F389" s="17" t="s">
        <v>3396</v>
      </c>
      <c r="G389" s="17" t="s">
        <v>3397</v>
      </c>
      <c r="H389" s="17" t="s">
        <v>3398</v>
      </c>
      <c r="I389" s="19" t="s">
        <v>95</v>
      </c>
      <c r="J389" s="24"/>
      <c r="K389" s="20" t="str">
        <f t="shared" si="18"/>
        <v/>
      </c>
      <c r="L389" s="20" t="str">
        <f>IF(C389="","",IF(COUNTIF('01_rules'!$A$2:$A$39,C389)=0,"rule 없음",""))</f>
        <v/>
      </c>
      <c r="M389" s="20" t="str">
        <f t="shared" si="19"/>
        <v/>
      </c>
      <c r="N389" s="20" t="str">
        <f t="shared" si="20"/>
        <v/>
      </c>
    </row>
    <row r="390" spans="1:14" ht="23.25" customHeight="1">
      <c r="A390" s="17" t="s">
        <v>4527</v>
      </c>
      <c r="B390" s="17" t="s">
        <v>284</v>
      </c>
      <c r="C390" s="17" t="s">
        <v>334</v>
      </c>
      <c r="D390" s="17" t="s">
        <v>4528</v>
      </c>
      <c r="E390" s="17" t="s">
        <v>1739</v>
      </c>
      <c r="F390" s="17" t="s">
        <v>3396</v>
      </c>
      <c r="G390" s="17" t="s">
        <v>3397</v>
      </c>
      <c r="H390" s="17" t="s">
        <v>3398</v>
      </c>
      <c r="I390" s="19" t="s">
        <v>95</v>
      </c>
      <c r="J390" s="24"/>
      <c r="K390" s="20" t="str">
        <f t="shared" si="18"/>
        <v/>
      </c>
      <c r="L390" s="20" t="str">
        <f>IF(C390="","",IF(COUNTIF('01_rules'!$A$2:$A$39,C390)=0,"rule 없음",""))</f>
        <v/>
      </c>
      <c r="M390" s="20" t="str">
        <f t="shared" si="19"/>
        <v/>
      </c>
      <c r="N390" s="20" t="str">
        <f t="shared" si="20"/>
        <v/>
      </c>
    </row>
    <row r="391" spans="1:14" ht="15" customHeight="1">
      <c r="A391" s="17" t="s">
        <v>4529</v>
      </c>
      <c r="B391" s="17" t="s">
        <v>284</v>
      </c>
      <c r="C391" s="17" t="s">
        <v>334</v>
      </c>
      <c r="D391" s="17" t="s">
        <v>4530</v>
      </c>
      <c r="E391" s="17" t="s">
        <v>1742</v>
      </c>
      <c r="F391" s="17" t="s">
        <v>3396</v>
      </c>
      <c r="G391" s="17" t="s">
        <v>3397</v>
      </c>
      <c r="H391" s="17" t="s">
        <v>3398</v>
      </c>
      <c r="I391" s="19" t="s">
        <v>95</v>
      </c>
      <c r="J391" s="24"/>
      <c r="K391" s="20" t="str">
        <f t="shared" si="18"/>
        <v/>
      </c>
      <c r="L391" s="20" t="str">
        <f>IF(C391="","",IF(COUNTIF('01_rules'!$A$2:$A$39,C391)=0,"rule 없음",""))</f>
        <v/>
      </c>
      <c r="M391" s="20" t="str">
        <f t="shared" si="19"/>
        <v/>
      </c>
      <c r="N391" s="20" t="str">
        <f t="shared" si="20"/>
        <v/>
      </c>
    </row>
    <row r="392" spans="1:14" ht="15" customHeight="1">
      <c r="A392" s="17" t="s">
        <v>4531</v>
      </c>
      <c r="B392" s="17" t="s">
        <v>284</v>
      </c>
      <c r="C392" s="17" t="s">
        <v>141</v>
      </c>
      <c r="D392" s="17" t="s">
        <v>4532</v>
      </c>
      <c r="E392" s="17" t="s">
        <v>1745</v>
      </c>
      <c r="F392" s="17" t="s">
        <v>3593</v>
      </c>
      <c r="G392" s="17" t="s">
        <v>3594</v>
      </c>
      <c r="H392" s="17" t="s">
        <v>3595</v>
      </c>
      <c r="I392" s="19" t="s">
        <v>95</v>
      </c>
      <c r="J392" s="24"/>
      <c r="K392" s="20" t="str">
        <f t="shared" si="18"/>
        <v/>
      </c>
      <c r="L392" s="20" t="str">
        <f>IF(C392="","",IF(COUNTIF('01_rules'!$A$2:$A$39,C392)=0,"rule 없음",""))</f>
        <v/>
      </c>
      <c r="M392" s="20" t="str">
        <f t="shared" si="19"/>
        <v/>
      </c>
      <c r="N392" s="20" t="str">
        <f t="shared" si="20"/>
        <v/>
      </c>
    </row>
    <row r="393" spans="1:14" ht="15" customHeight="1">
      <c r="A393" s="17" t="s">
        <v>4533</v>
      </c>
      <c r="B393" s="17" t="s">
        <v>284</v>
      </c>
      <c r="C393" s="17" t="s">
        <v>282</v>
      </c>
      <c r="D393" s="17" t="s">
        <v>4534</v>
      </c>
      <c r="E393" s="17" t="s">
        <v>1748</v>
      </c>
      <c r="F393" s="17" t="s">
        <v>3836</v>
      </c>
      <c r="G393" s="17" t="s">
        <v>3837</v>
      </c>
      <c r="H393" s="17" t="s">
        <v>4512</v>
      </c>
      <c r="I393" s="19" t="s">
        <v>95</v>
      </c>
      <c r="J393" s="24"/>
      <c r="K393" s="20" t="str">
        <f t="shared" si="18"/>
        <v/>
      </c>
      <c r="L393" s="20" t="str">
        <f>IF(C393="","",IF(COUNTIF('01_rules'!$A$2:$A$39,C393)=0,"rule 없음",""))</f>
        <v/>
      </c>
      <c r="M393" s="20" t="str">
        <f t="shared" si="19"/>
        <v/>
      </c>
      <c r="N393" s="20" t="str">
        <f t="shared" si="20"/>
        <v/>
      </c>
    </row>
    <row r="394" spans="1:14" ht="15" customHeight="1">
      <c r="A394" s="17" t="s">
        <v>4535</v>
      </c>
      <c r="B394" s="17" t="s">
        <v>284</v>
      </c>
      <c r="C394" s="17" t="s">
        <v>282</v>
      </c>
      <c r="D394" s="17" t="s">
        <v>4536</v>
      </c>
      <c r="E394" s="17" t="s">
        <v>1751</v>
      </c>
      <c r="F394" s="17" t="s">
        <v>3837</v>
      </c>
      <c r="G394" s="17" t="s">
        <v>3836</v>
      </c>
      <c r="H394" s="17" t="s">
        <v>4512</v>
      </c>
      <c r="I394" s="19" t="s">
        <v>95</v>
      </c>
      <c r="J394" s="24"/>
      <c r="K394" s="20" t="str">
        <f t="shared" si="18"/>
        <v/>
      </c>
      <c r="L394" s="20" t="str">
        <f>IF(C394="","",IF(COUNTIF('01_rules'!$A$2:$A$39,C394)=0,"rule 없음",""))</f>
        <v/>
      </c>
      <c r="M394" s="20" t="str">
        <f t="shared" si="19"/>
        <v/>
      </c>
      <c r="N394" s="20" t="str">
        <f t="shared" si="20"/>
        <v/>
      </c>
    </row>
    <row r="395" spans="1:14" ht="15" customHeight="1">
      <c r="A395" s="17" t="s">
        <v>4537</v>
      </c>
      <c r="B395" s="17" t="s">
        <v>284</v>
      </c>
      <c r="C395" s="17" t="s">
        <v>282</v>
      </c>
      <c r="D395" s="17" t="s">
        <v>4538</v>
      </c>
      <c r="E395" s="17" t="s">
        <v>1754</v>
      </c>
      <c r="F395" s="17" t="s">
        <v>3836</v>
      </c>
      <c r="G395" s="17" t="s">
        <v>3837</v>
      </c>
      <c r="H395" s="17" t="s">
        <v>4512</v>
      </c>
      <c r="I395" s="19" t="s">
        <v>95</v>
      </c>
      <c r="J395" s="24"/>
      <c r="K395" s="20" t="str">
        <f t="shared" si="18"/>
        <v/>
      </c>
      <c r="L395" s="20" t="str">
        <f>IF(C395="","",IF(COUNTIF('01_rules'!$A$2:$A$39,C395)=0,"rule 없음",""))</f>
        <v/>
      </c>
      <c r="M395" s="20" t="str">
        <f t="shared" si="19"/>
        <v/>
      </c>
      <c r="N395" s="20" t="str">
        <f t="shared" si="20"/>
        <v/>
      </c>
    </row>
    <row r="396" spans="1:14" ht="15" customHeight="1">
      <c r="A396" s="17" t="s">
        <v>4539</v>
      </c>
      <c r="B396" s="17" t="s">
        <v>284</v>
      </c>
      <c r="C396" s="17" t="s">
        <v>282</v>
      </c>
      <c r="D396" s="17" t="s">
        <v>4540</v>
      </c>
      <c r="E396" s="17" t="s">
        <v>1757</v>
      </c>
      <c r="F396" s="17" t="s">
        <v>3836</v>
      </c>
      <c r="G396" s="17" t="s">
        <v>3837</v>
      </c>
      <c r="H396" s="17" t="s">
        <v>4512</v>
      </c>
      <c r="I396" s="19" t="s">
        <v>95</v>
      </c>
      <c r="J396" s="24"/>
      <c r="K396" s="20" t="str">
        <f t="shared" si="18"/>
        <v/>
      </c>
      <c r="L396" s="20" t="str">
        <f>IF(C396="","",IF(COUNTIF('01_rules'!$A$2:$A$39,C396)=0,"rule 없음",""))</f>
        <v/>
      </c>
      <c r="M396" s="20" t="str">
        <f t="shared" si="19"/>
        <v/>
      </c>
      <c r="N396" s="20" t="str">
        <f t="shared" si="20"/>
        <v/>
      </c>
    </row>
    <row r="397" spans="1:14" ht="15" customHeight="1">
      <c r="A397" s="17" t="s">
        <v>4541</v>
      </c>
      <c r="B397" s="17" t="s">
        <v>284</v>
      </c>
      <c r="C397" s="17" t="s">
        <v>334</v>
      </c>
      <c r="D397" s="17" t="s">
        <v>4542</v>
      </c>
      <c r="E397" s="17" t="s">
        <v>1760</v>
      </c>
      <c r="F397" s="17" t="s">
        <v>3396</v>
      </c>
      <c r="G397" s="17" t="s">
        <v>3397</v>
      </c>
      <c r="H397" s="17" t="s">
        <v>3398</v>
      </c>
      <c r="I397" s="19" t="s">
        <v>95</v>
      </c>
      <c r="J397" s="24"/>
      <c r="K397" s="20" t="str">
        <f t="shared" si="18"/>
        <v/>
      </c>
      <c r="L397" s="20" t="str">
        <f>IF(C397="","",IF(COUNTIF('01_rules'!$A$2:$A$39,C397)=0,"rule 없음",""))</f>
        <v/>
      </c>
      <c r="M397" s="20" t="str">
        <f t="shared" si="19"/>
        <v/>
      </c>
      <c r="N397" s="20" t="str">
        <f t="shared" si="20"/>
        <v/>
      </c>
    </row>
    <row r="398" spans="1:14" ht="15" customHeight="1">
      <c r="A398" s="17" t="s">
        <v>4543</v>
      </c>
      <c r="B398" s="17" t="s">
        <v>284</v>
      </c>
      <c r="C398" s="17" t="s">
        <v>141</v>
      </c>
      <c r="D398" s="17" t="s">
        <v>4544</v>
      </c>
      <c r="E398" s="17" t="s">
        <v>1763</v>
      </c>
      <c r="F398" s="17" t="s">
        <v>3593</v>
      </c>
      <c r="G398" s="17" t="s">
        <v>3594</v>
      </c>
      <c r="H398" s="17" t="s">
        <v>3595</v>
      </c>
      <c r="I398" s="19" t="s">
        <v>95</v>
      </c>
      <c r="J398" s="24"/>
      <c r="K398" s="20" t="str">
        <f t="shared" si="18"/>
        <v/>
      </c>
      <c r="L398" s="20" t="str">
        <f>IF(C398="","",IF(COUNTIF('01_rules'!$A$2:$A$39,C398)=0,"rule 없음",""))</f>
        <v/>
      </c>
      <c r="M398" s="20" t="str">
        <f t="shared" si="19"/>
        <v/>
      </c>
      <c r="N398" s="20" t="str">
        <f t="shared" si="20"/>
        <v/>
      </c>
    </row>
    <row r="399" spans="1:14" ht="15" customHeight="1">
      <c r="A399" s="17" t="s">
        <v>4545</v>
      </c>
      <c r="B399" s="17" t="s">
        <v>284</v>
      </c>
      <c r="C399" s="17" t="s">
        <v>334</v>
      </c>
      <c r="D399" s="17" t="s">
        <v>4546</v>
      </c>
      <c r="E399" s="17" t="s">
        <v>1766</v>
      </c>
      <c r="F399" s="17" t="s">
        <v>3396</v>
      </c>
      <c r="G399" s="17" t="s">
        <v>3397</v>
      </c>
      <c r="H399" s="17" t="s">
        <v>3398</v>
      </c>
      <c r="I399" s="19" t="s">
        <v>95</v>
      </c>
      <c r="J399" s="24"/>
      <c r="K399" s="20" t="str">
        <f t="shared" si="18"/>
        <v/>
      </c>
      <c r="L399" s="20" t="str">
        <f>IF(C399="","",IF(COUNTIF('01_rules'!$A$2:$A$39,C399)=0,"rule 없음",""))</f>
        <v/>
      </c>
      <c r="M399" s="20" t="str">
        <f t="shared" si="19"/>
        <v/>
      </c>
      <c r="N399" s="20" t="str">
        <f t="shared" si="20"/>
        <v/>
      </c>
    </row>
    <row r="400" spans="1:14" ht="15" customHeight="1">
      <c r="A400" s="17" t="s">
        <v>4547</v>
      </c>
      <c r="B400" s="17" t="s">
        <v>284</v>
      </c>
      <c r="C400" s="17" t="s">
        <v>310</v>
      </c>
      <c r="D400" s="17" t="s">
        <v>4548</v>
      </c>
      <c r="E400" s="17" t="s">
        <v>1769</v>
      </c>
      <c r="F400" s="17" t="s">
        <v>3397</v>
      </c>
      <c r="G400" s="17" t="s">
        <v>3396</v>
      </c>
      <c r="H400" s="17" t="s">
        <v>3398</v>
      </c>
      <c r="I400" s="19" t="s">
        <v>95</v>
      </c>
      <c r="J400" s="24"/>
      <c r="K400" s="20" t="str">
        <f t="shared" si="18"/>
        <v/>
      </c>
      <c r="L400" s="20" t="str">
        <f>IF(C400="","",IF(COUNTIF('01_rules'!$A$2:$A$39,C400)=0,"rule 없음",""))</f>
        <v/>
      </c>
      <c r="M400" s="20" t="str">
        <f t="shared" si="19"/>
        <v/>
      </c>
      <c r="N400" s="20" t="str">
        <f t="shared" si="20"/>
        <v/>
      </c>
    </row>
    <row r="401" spans="1:14" ht="15" customHeight="1">
      <c r="A401" s="17" t="s">
        <v>4549</v>
      </c>
      <c r="B401" s="17" t="s">
        <v>284</v>
      </c>
      <c r="C401" s="17" t="s">
        <v>87</v>
      </c>
      <c r="D401" s="17" t="s">
        <v>4550</v>
      </c>
      <c r="E401" s="17" t="s">
        <v>1772</v>
      </c>
      <c r="F401" s="17" t="s">
        <v>4551</v>
      </c>
      <c r="G401" s="17" t="s">
        <v>4552</v>
      </c>
      <c r="H401" s="17" t="s">
        <v>3343</v>
      </c>
      <c r="I401" s="19" t="s">
        <v>95</v>
      </c>
      <c r="J401" s="24"/>
      <c r="K401" s="20" t="str">
        <f t="shared" si="18"/>
        <v/>
      </c>
      <c r="L401" s="20" t="str">
        <f>IF(C401="","",IF(COUNTIF('01_rules'!$A$2:$A$39,C401)=0,"rule 없음",""))</f>
        <v/>
      </c>
      <c r="M401" s="20" t="str">
        <f t="shared" si="19"/>
        <v/>
      </c>
      <c r="N401" s="20" t="str">
        <f t="shared" si="20"/>
        <v/>
      </c>
    </row>
    <row r="402" spans="1:14" ht="15" customHeight="1">
      <c r="A402" s="17"/>
      <c r="B402" s="17"/>
      <c r="C402" s="17"/>
      <c r="D402" s="17"/>
      <c r="E402" s="17"/>
      <c r="F402" s="17"/>
      <c r="G402" s="17"/>
      <c r="H402" s="17"/>
      <c r="I402" s="19"/>
      <c r="J402" s="24"/>
      <c r="K402" s="20"/>
      <c r="L402" s="20"/>
      <c r="M402" s="20"/>
      <c r="N402" s="20"/>
    </row>
    <row r="403" spans="1:14" ht="15" customHeight="1">
      <c r="A403" s="17"/>
      <c r="B403" s="17"/>
      <c r="C403" s="17"/>
      <c r="D403" s="17"/>
      <c r="E403" s="17"/>
      <c r="F403" s="17"/>
      <c r="G403" s="17"/>
      <c r="H403" s="17"/>
      <c r="I403" s="19"/>
      <c r="J403" s="24"/>
      <c r="K403" s="20"/>
      <c r="L403" s="20"/>
      <c r="M403" s="20"/>
      <c r="N403" s="20"/>
    </row>
    <row r="404" spans="1:14" ht="15" customHeight="1">
      <c r="A404" s="2" t="s">
        <v>4553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pans="1:14" ht="1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pans="1:14" ht="1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pans="1:14" ht="15" customHeight="1">
      <c r="A407" s="17"/>
      <c r="B407" s="17"/>
      <c r="C407" s="17"/>
      <c r="D407" s="17"/>
      <c r="E407" s="17"/>
      <c r="F407" s="17"/>
      <c r="G407" s="17"/>
      <c r="H407" s="17"/>
      <c r="I407" s="19"/>
      <c r="J407" s="24"/>
      <c r="K407" s="20"/>
      <c r="L407" s="20"/>
      <c r="M407" s="20"/>
      <c r="N407" s="20"/>
    </row>
    <row r="408" spans="1:14" ht="15" customHeight="1">
      <c r="A408" s="17"/>
      <c r="B408" s="17"/>
      <c r="C408" s="17"/>
      <c r="D408" s="17"/>
      <c r="E408" s="17"/>
      <c r="F408" s="17"/>
      <c r="G408" s="17"/>
      <c r="H408" s="17"/>
      <c r="I408" s="19"/>
      <c r="J408" s="24"/>
      <c r="K408" s="20"/>
      <c r="L408" s="20"/>
      <c r="M408" s="20"/>
      <c r="N408" s="20"/>
    </row>
    <row r="409" spans="1:14" ht="23.25" customHeight="1">
      <c r="A409" s="17"/>
      <c r="B409" s="17"/>
      <c r="C409" s="17"/>
      <c r="D409" s="17"/>
      <c r="E409" s="17"/>
      <c r="F409" s="17"/>
      <c r="G409" s="17"/>
      <c r="H409" s="17"/>
      <c r="I409" s="19"/>
      <c r="J409" s="24"/>
      <c r="K409" s="20"/>
      <c r="L409" s="20"/>
      <c r="M409" s="20"/>
      <c r="N409" s="20"/>
    </row>
    <row r="412" spans="1:14" ht="14.25" customHeight="1">
      <c r="A412" s="22"/>
    </row>
    <row r="413" spans="1:14" ht="14.25" customHeight="1"/>
    <row r="414" spans="1:14" ht="14.25" customHeight="1"/>
  </sheetData>
  <mergeCells count="1">
    <mergeCell ref="A404:N406"/>
  </mergeCells>
  <phoneticPr fontId="16" type="noConversion"/>
  <conditionalFormatting sqref="K2:N51">
    <cfRule type="expression" dxfId="1" priority="2">
      <formula>AND(K2&lt;&gt;"",K2&lt;&gt;"OK")</formula>
    </cfRule>
  </conditionalFormatting>
  <dataValidations count="1">
    <dataValidation type="list" allowBlank="1" sqref="I2:I51" xr:uid="{00000000-0002-0000-0600-000000000000}">
      <formula1>"미검수,확인,수정필요"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80"/>
  <sheetViews>
    <sheetView tabSelected="1" zoomScaleNormal="100" workbookViewId="0">
      <pane ySplit="1" topLeftCell="A5" activePane="bottomLeft" state="frozen"/>
      <selection pane="bottomLeft" activeCell="C75" sqref="C75"/>
    </sheetView>
  </sheetViews>
  <sheetFormatPr defaultColWidth="8.6640625" defaultRowHeight="14.4"/>
  <cols>
    <col min="1" max="2" width="8" customWidth="1"/>
    <col min="3" max="3" width="39.6640625" customWidth="1"/>
    <col min="4" max="4" width="53.33203125" customWidth="1"/>
    <col min="5" max="5" width="76.77734375" customWidth="1"/>
    <col min="6" max="6" width="14" customWidth="1"/>
    <col min="7" max="7" width="26" customWidth="1"/>
    <col min="8" max="8" width="14" customWidth="1"/>
    <col min="9" max="9" width="11" customWidth="1"/>
    <col min="10" max="10" width="20" customWidth="1"/>
    <col min="11" max="11" width="11" customWidth="1"/>
    <col min="12" max="12" width="13" customWidth="1"/>
    <col min="13" max="13" width="12" customWidth="1"/>
  </cols>
  <sheetData>
    <row r="1" spans="1:13" ht="31.5" customHeight="1">
      <c r="A1" s="14" t="s">
        <v>72</v>
      </c>
      <c r="B1" s="14" t="s">
        <v>74</v>
      </c>
      <c r="C1" s="14" t="s">
        <v>4554</v>
      </c>
      <c r="D1" s="14" t="s">
        <v>4555</v>
      </c>
      <c r="E1" s="14" t="s">
        <v>4556</v>
      </c>
      <c r="F1" s="14" t="s">
        <v>490</v>
      </c>
      <c r="G1" s="14" t="s">
        <v>1776</v>
      </c>
      <c r="H1" s="15" t="s">
        <v>4557</v>
      </c>
      <c r="I1" s="15" t="s">
        <v>80</v>
      </c>
      <c r="J1" s="15" t="s">
        <v>82</v>
      </c>
      <c r="K1" s="16" t="s">
        <v>83</v>
      </c>
      <c r="L1" s="16" t="s">
        <v>4558</v>
      </c>
      <c r="M1" s="16" t="s">
        <v>343</v>
      </c>
    </row>
    <row r="2" spans="1:13" ht="34.200000000000003" customHeight="1">
      <c r="A2" s="17" t="s">
        <v>4559</v>
      </c>
      <c r="B2" s="17" t="s">
        <v>291</v>
      </c>
      <c r="C2" s="18" t="s">
        <v>4560</v>
      </c>
      <c r="D2" s="17" t="s">
        <v>4561</v>
      </c>
      <c r="E2" s="17" t="s">
        <v>4562</v>
      </c>
      <c r="F2" s="17" t="s">
        <v>289</v>
      </c>
      <c r="G2" s="17" t="s">
        <v>4563</v>
      </c>
      <c r="H2" s="19" t="s">
        <v>4564</v>
      </c>
      <c r="I2" s="19" t="s">
        <v>95</v>
      </c>
      <c r="J2" s="24"/>
      <c r="K2" s="20" t="str">
        <f t="shared" ref="K2:K33" si="0">IF(A2="","",IF(COUNTIF($A$2:$A$75,A2)&gt;1,"중복",""))</f>
        <v/>
      </c>
      <c r="L2" s="20" t="str">
        <f t="shared" ref="L2:L33" si="1">IF(D2="","",IF(LEN(D2)-LEN(SUBSTITUTE(D2,";",""))+1&lt;3,"3개 미만",""))</f>
        <v/>
      </c>
      <c r="M2" s="20" t="str">
        <f>IF(F2="","",IF(COUNTIF('01_rules'!$A$2:$A$39,LEFT(F2,4))=0,"rule 없음",""))</f>
        <v/>
      </c>
    </row>
    <row r="3" spans="1:13" ht="34.200000000000003" customHeight="1">
      <c r="A3" s="17" t="s">
        <v>4565</v>
      </c>
      <c r="B3" s="17" t="s">
        <v>291</v>
      </c>
      <c r="C3" s="17" t="s">
        <v>4566</v>
      </c>
      <c r="D3" s="17" t="s">
        <v>4567</v>
      </c>
      <c r="E3" s="17" t="s">
        <v>4568</v>
      </c>
      <c r="F3" s="17" t="s">
        <v>289</v>
      </c>
      <c r="G3" s="17" t="s">
        <v>4569</v>
      </c>
      <c r="H3" s="19" t="s">
        <v>4570</v>
      </c>
      <c r="I3" s="19" t="s">
        <v>95</v>
      </c>
      <c r="J3" s="24"/>
      <c r="K3" s="20" t="str">
        <f t="shared" si="0"/>
        <v/>
      </c>
      <c r="L3" s="20" t="str">
        <f t="shared" si="1"/>
        <v/>
      </c>
      <c r="M3" s="20" t="str">
        <f>IF(F3="","",IF(COUNTIF('01_rules'!$A$2:$A$39,LEFT(F3,4))=0,"rule 없음",""))</f>
        <v/>
      </c>
    </row>
    <row r="4" spans="1:13" ht="34.200000000000003" customHeight="1">
      <c r="A4" s="17" t="s">
        <v>4571</v>
      </c>
      <c r="B4" s="17" t="s">
        <v>299</v>
      </c>
      <c r="C4" s="17" t="s">
        <v>4572</v>
      </c>
      <c r="D4" s="18" t="s">
        <v>4573</v>
      </c>
      <c r="E4" s="18" t="s">
        <v>4574</v>
      </c>
      <c r="F4" s="17" t="s">
        <v>4575</v>
      </c>
      <c r="G4" s="17" t="s">
        <v>4576</v>
      </c>
      <c r="H4" s="19" t="s">
        <v>4564</v>
      </c>
      <c r="I4" s="19" t="s">
        <v>95</v>
      </c>
      <c r="J4" s="24"/>
      <c r="K4" s="20" t="str">
        <f t="shared" si="0"/>
        <v/>
      </c>
      <c r="L4" s="20" t="str">
        <f t="shared" si="1"/>
        <v/>
      </c>
      <c r="M4" s="20" t="str">
        <f>IF(F4="","",IF(COUNTIF('01_rules'!$A$2:$A$39,LEFT(F4,4))=0,"rule 없음",""))</f>
        <v/>
      </c>
    </row>
    <row r="5" spans="1:13" ht="34.200000000000003" customHeight="1">
      <c r="A5" s="17" t="s">
        <v>4577</v>
      </c>
      <c r="B5" s="17" t="s">
        <v>299</v>
      </c>
      <c r="C5" s="17" t="s">
        <v>4578</v>
      </c>
      <c r="D5" s="18" t="s">
        <v>4579</v>
      </c>
      <c r="E5" s="17" t="s">
        <v>4580</v>
      </c>
      <c r="F5" s="17" t="s">
        <v>289</v>
      </c>
      <c r="G5" s="17" t="s">
        <v>4581</v>
      </c>
      <c r="H5" s="19" t="s">
        <v>4582</v>
      </c>
      <c r="I5" s="19" t="s">
        <v>95</v>
      </c>
      <c r="J5" s="24"/>
      <c r="K5" s="20" t="str">
        <f t="shared" si="0"/>
        <v/>
      </c>
      <c r="L5" s="20" t="str">
        <f t="shared" si="1"/>
        <v/>
      </c>
      <c r="M5" s="20" t="str">
        <f>IF(F5="","",IF(COUNTIF('01_rules'!$A$2:$A$39,LEFT(F5,4))=0,"rule 없음",""))</f>
        <v/>
      </c>
    </row>
    <row r="6" spans="1:13" ht="34.200000000000003" customHeight="1">
      <c r="A6" s="17" t="s">
        <v>4583</v>
      </c>
      <c r="B6" s="17" t="s">
        <v>318</v>
      </c>
      <c r="C6" s="18" t="s">
        <v>4584</v>
      </c>
      <c r="D6" s="17" t="s">
        <v>4585</v>
      </c>
      <c r="E6" s="17" t="s">
        <v>4586</v>
      </c>
      <c r="F6" s="17" t="s">
        <v>297</v>
      </c>
      <c r="G6" s="17" t="s">
        <v>4587</v>
      </c>
      <c r="H6" s="19" t="s">
        <v>4564</v>
      </c>
      <c r="I6" s="19" t="s">
        <v>95</v>
      </c>
      <c r="J6" s="24"/>
      <c r="K6" s="20" t="str">
        <f t="shared" si="0"/>
        <v/>
      </c>
      <c r="L6" s="20" t="str">
        <f t="shared" si="1"/>
        <v/>
      </c>
      <c r="M6" s="20" t="str">
        <f>IF(F6="","",IF(COUNTIF('01_rules'!$A$2:$A$39,LEFT(F6,4))=0,"rule 없음",""))</f>
        <v/>
      </c>
    </row>
    <row r="7" spans="1:13" ht="34.200000000000003" customHeight="1">
      <c r="A7" s="17" t="s">
        <v>4588</v>
      </c>
      <c r="B7" s="17" t="s">
        <v>291</v>
      </c>
      <c r="C7" s="18" t="s">
        <v>4589</v>
      </c>
      <c r="D7" s="17" t="s">
        <v>4590</v>
      </c>
      <c r="E7" s="17" t="s">
        <v>4591</v>
      </c>
      <c r="F7" s="17"/>
      <c r="G7" s="17" t="s">
        <v>4592</v>
      </c>
      <c r="H7" s="19" t="s">
        <v>4570</v>
      </c>
      <c r="I7" s="19" t="s">
        <v>95</v>
      </c>
      <c r="J7" s="24" t="s">
        <v>4593</v>
      </c>
      <c r="K7" s="20" t="str">
        <f t="shared" si="0"/>
        <v/>
      </c>
      <c r="L7" s="20" t="str">
        <f t="shared" si="1"/>
        <v/>
      </c>
      <c r="M7" s="20" t="str">
        <f>IF(F7="","",IF(COUNTIF('01_rules'!$A$2:$A$39,LEFT(F7,4))=0,"rule 없음",""))</f>
        <v/>
      </c>
    </row>
    <row r="8" spans="1:13" ht="34.200000000000003" customHeight="1">
      <c r="A8" s="17" t="s">
        <v>4594</v>
      </c>
      <c r="B8" s="17" t="s">
        <v>89</v>
      </c>
      <c r="C8" s="18" t="s">
        <v>4595</v>
      </c>
      <c r="D8" s="18" t="s">
        <v>4596</v>
      </c>
      <c r="E8" s="18" t="s">
        <v>4597</v>
      </c>
      <c r="F8" s="17" t="s">
        <v>87</v>
      </c>
      <c r="G8" s="17" t="s">
        <v>598</v>
      </c>
      <c r="H8" s="19" t="s">
        <v>4564</v>
      </c>
      <c r="I8" s="19" t="s">
        <v>95</v>
      </c>
      <c r="J8" s="24"/>
      <c r="K8" s="20" t="str">
        <f t="shared" si="0"/>
        <v/>
      </c>
      <c r="L8" s="20" t="str">
        <f t="shared" si="1"/>
        <v/>
      </c>
      <c r="M8" s="20" t="str">
        <f>IF(F8="","",IF(COUNTIF('01_rules'!$A$2:$A$39,LEFT(F8,4))=0,"rule 없음",""))</f>
        <v/>
      </c>
    </row>
    <row r="9" spans="1:13" ht="34.200000000000003" customHeight="1">
      <c r="A9" s="17" t="s">
        <v>4598</v>
      </c>
      <c r="B9" s="17" t="s">
        <v>104</v>
      </c>
      <c r="C9" s="18" t="s">
        <v>4599</v>
      </c>
      <c r="D9" s="17" t="s">
        <v>4600</v>
      </c>
      <c r="E9" s="18" t="s">
        <v>4601</v>
      </c>
      <c r="F9" s="17" t="s">
        <v>102</v>
      </c>
      <c r="G9" s="17" t="s">
        <v>4602</v>
      </c>
      <c r="H9" s="19" t="s">
        <v>4564</v>
      </c>
      <c r="I9" s="19" t="s">
        <v>95</v>
      </c>
      <c r="J9" s="24"/>
      <c r="K9" s="20" t="str">
        <f t="shared" si="0"/>
        <v/>
      </c>
      <c r="L9" s="20" t="str">
        <f t="shared" si="1"/>
        <v/>
      </c>
      <c r="M9" s="20" t="str">
        <f>IF(F9="","",IF(COUNTIF('01_rules'!$A$2:$A$39,LEFT(F9,4))=0,"rule 없음",""))</f>
        <v/>
      </c>
    </row>
    <row r="10" spans="1:13" ht="34.200000000000003" customHeight="1">
      <c r="A10" s="17" t="s">
        <v>4603</v>
      </c>
      <c r="B10" s="17" t="s">
        <v>117</v>
      </c>
      <c r="C10" s="18" t="s">
        <v>4604</v>
      </c>
      <c r="D10" s="18" t="s">
        <v>4605</v>
      </c>
      <c r="E10" s="18" t="s">
        <v>4606</v>
      </c>
      <c r="F10" s="17" t="s">
        <v>115</v>
      </c>
      <c r="G10" s="17" t="s">
        <v>4607</v>
      </c>
      <c r="H10" s="19" t="s">
        <v>4564</v>
      </c>
      <c r="I10" s="19" t="s">
        <v>95</v>
      </c>
      <c r="J10" s="24"/>
      <c r="K10" s="20" t="str">
        <f t="shared" si="0"/>
        <v/>
      </c>
      <c r="L10" s="20" t="str">
        <f t="shared" si="1"/>
        <v/>
      </c>
      <c r="M10" s="20" t="str">
        <f>IF(F10="","",IF(COUNTIF('01_rules'!$A$2:$A$39,LEFT(F10,4))=0,"rule 없음",""))</f>
        <v/>
      </c>
    </row>
    <row r="11" spans="1:13" ht="34.200000000000003" customHeight="1">
      <c r="A11" s="17" t="s">
        <v>4608</v>
      </c>
      <c r="B11" s="17" t="s">
        <v>130</v>
      </c>
      <c r="C11" s="18" t="s">
        <v>4609</v>
      </c>
      <c r="D11" s="17" t="s">
        <v>4610</v>
      </c>
      <c r="E11" s="17" t="s">
        <v>4611</v>
      </c>
      <c r="F11" s="17" t="s">
        <v>128</v>
      </c>
      <c r="G11" s="17" t="s">
        <v>769</v>
      </c>
      <c r="H11" s="19" t="s">
        <v>4564</v>
      </c>
      <c r="I11" s="19" t="s">
        <v>95</v>
      </c>
      <c r="J11" s="24"/>
      <c r="K11" s="20" t="str">
        <f t="shared" si="0"/>
        <v/>
      </c>
      <c r="L11" s="20" t="str">
        <f t="shared" si="1"/>
        <v/>
      </c>
      <c r="M11" s="20" t="str">
        <f>IF(F11="","",IF(COUNTIF('01_rules'!$A$2:$A$39,LEFT(F11,4))=0,"rule 없음",""))</f>
        <v/>
      </c>
    </row>
    <row r="12" spans="1:13" ht="34.200000000000003" customHeight="1">
      <c r="A12" s="17" t="s">
        <v>4612</v>
      </c>
      <c r="B12" s="17" t="s">
        <v>143</v>
      </c>
      <c r="C12" s="18" t="s">
        <v>4613</v>
      </c>
      <c r="D12" s="18" t="s">
        <v>4614</v>
      </c>
      <c r="E12" s="18" t="s">
        <v>4615</v>
      </c>
      <c r="F12" s="17" t="s">
        <v>141</v>
      </c>
      <c r="G12" s="17" t="s">
        <v>826</v>
      </c>
      <c r="H12" s="19" t="s">
        <v>4564</v>
      </c>
      <c r="I12" s="19" t="s">
        <v>95</v>
      </c>
      <c r="J12" s="24"/>
      <c r="K12" s="20" t="str">
        <f t="shared" si="0"/>
        <v/>
      </c>
      <c r="L12" s="20" t="str">
        <f t="shared" si="1"/>
        <v/>
      </c>
      <c r="M12" s="20" t="str">
        <f>IF(F12="","",IF(COUNTIF('01_rules'!$A$2:$A$39,LEFT(F12,4))=0,"rule 없음",""))</f>
        <v/>
      </c>
    </row>
    <row r="13" spans="1:13" ht="34.200000000000003" customHeight="1">
      <c r="A13" s="17" t="s">
        <v>4616</v>
      </c>
      <c r="B13" s="17" t="s">
        <v>156</v>
      </c>
      <c r="C13" s="18" t="s">
        <v>4617</v>
      </c>
      <c r="D13" s="17" t="s">
        <v>4618</v>
      </c>
      <c r="E13" s="18" t="s">
        <v>4619</v>
      </c>
      <c r="F13" s="17" t="s">
        <v>154</v>
      </c>
      <c r="G13" s="17" t="s">
        <v>4620</v>
      </c>
      <c r="H13" s="19" t="s">
        <v>4564</v>
      </c>
      <c r="I13" s="19" t="s">
        <v>95</v>
      </c>
      <c r="J13" s="24"/>
      <c r="K13" s="20" t="str">
        <f t="shared" si="0"/>
        <v/>
      </c>
      <c r="L13" s="20" t="str">
        <f t="shared" si="1"/>
        <v/>
      </c>
      <c r="M13" s="20" t="str">
        <f>IF(F13="","",IF(COUNTIF('01_rules'!$A$2:$A$39,LEFT(F13,4))=0,"rule 없음",""))</f>
        <v/>
      </c>
    </row>
    <row r="14" spans="1:13" ht="34.200000000000003" customHeight="1">
      <c r="A14" s="17" t="s">
        <v>4621</v>
      </c>
      <c r="B14" s="17" t="s">
        <v>176</v>
      </c>
      <c r="C14" s="18" t="s">
        <v>4622</v>
      </c>
      <c r="D14" s="17" t="s">
        <v>4623</v>
      </c>
      <c r="E14" s="18" t="s">
        <v>4624</v>
      </c>
      <c r="F14" s="17" t="s">
        <v>174</v>
      </c>
      <c r="G14" s="17" t="s">
        <v>996</v>
      </c>
      <c r="H14" s="19" t="s">
        <v>4564</v>
      </c>
      <c r="I14" s="19" t="s">
        <v>95</v>
      </c>
      <c r="J14" s="24"/>
      <c r="K14" s="20" t="str">
        <f t="shared" si="0"/>
        <v/>
      </c>
      <c r="L14" s="20" t="str">
        <f t="shared" si="1"/>
        <v/>
      </c>
      <c r="M14" s="20" t="str">
        <f>IF(F14="","",IF(COUNTIF('01_rules'!$A$2:$A$39,LEFT(F14,4))=0,"rule 없음",""))</f>
        <v/>
      </c>
    </row>
    <row r="15" spans="1:13" ht="34.200000000000003" customHeight="1">
      <c r="A15" s="17" t="s">
        <v>4625</v>
      </c>
      <c r="B15" s="17" t="s">
        <v>196</v>
      </c>
      <c r="C15" s="18" t="s">
        <v>4626</v>
      </c>
      <c r="D15" s="17" t="s">
        <v>4627</v>
      </c>
      <c r="E15" s="18" t="s">
        <v>4628</v>
      </c>
      <c r="F15" s="17" t="s">
        <v>194</v>
      </c>
      <c r="G15" s="17" t="s">
        <v>4629</v>
      </c>
      <c r="H15" s="19" t="s">
        <v>4564</v>
      </c>
      <c r="I15" s="19" t="s">
        <v>95</v>
      </c>
      <c r="J15" s="24"/>
      <c r="K15" s="20" t="str">
        <f t="shared" si="0"/>
        <v/>
      </c>
      <c r="L15" s="20" t="str">
        <f t="shared" si="1"/>
        <v/>
      </c>
      <c r="M15" s="20" t="str">
        <f>IF(F15="","",IF(COUNTIF('01_rules'!$A$2:$A$39,LEFT(F15,4))=0,"rule 없음",""))</f>
        <v/>
      </c>
    </row>
    <row r="16" spans="1:13" ht="34.200000000000003" customHeight="1">
      <c r="A16" s="17" t="s">
        <v>4630</v>
      </c>
      <c r="B16" s="17" t="s">
        <v>210</v>
      </c>
      <c r="C16" s="18" t="s">
        <v>4631</v>
      </c>
      <c r="D16" s="17" t="s">
        <v>4632</v>
      </c>
      <c r="E16" s="18" t="s">
        <v>4633</v>
      </c>
      <c r="F16" s="17" t="s">
        <v>208</v>
      </c>
      <c r="G16" s="17" t="s">
        <v>1242</v>
      </c>
      <c r="H16" s="19" t="s">
        <v>4564</v>
      </c>
      <c r="I16" s="19" t="s">
        <v>95</v>
      </c>
      <c r="J16" s="24"/>
      <c r="K16" s="20" t="str">
        <f t="shared" si="0"/>
        <v/>
      </c>
      <c r="L16" s="20" t="str">
        <f t="shared" si="1"/>
        <v/>
      </c>
      <c r="M16" s="20" t="str">
        <f>IF(F16="","",IF(COUNTIF('01_rules'!$A$2:$A$39,LEFT(F16,4))=0,"rule 없음",""))</f>
        <v/>
      </c>
    </row>
    <row r="17" spans="1:13" ht="34.200000000000003" customHeight="1">
      <c r="A17" s="17" t="s">
        <v>4634</v>
      </c>
      <c r="B17" s="17" t="s">
        <v>224</v>
      </c>
      <c r="C17" s="18" t="s">
        <v>4635</v>
      </c>
      <c r="D17" s="17" t="s">
        <v>4636</v>
      </c>
      <c r="E17" s="18" t="s">
        <v>4637</v>
      </c>
      <c r="F17" s="17" t="s">
        <v>222</v>
      </c>
      <c r="G17" s="17" t="s">
        <v>1356</v>
      </c>
      <c r="H17" s="19" t="s">
        <v>4564</v>
      </c>
      <c r="I17" s="19" t="s">
        <v>95</v>
      </c>
      <c r="J17" s="24"/>
      <c r="K17" s="20" t="str">
        <f t="shared" si="0"/>
        <v/>
      </c>
      <c r="L17" s="20" t="str">
        <f t="shared" si="1"/>
        <v/>
      </c>
      <c r="M17" s="20" t="str">
        <f>IF(F17="","",IF(COUNTIF('01_rules'!$A$2:$A$39,LEFT(F17,4))=0,"rule 없음",""))</f>
        <v/>
      </c>
    </row>
    <row r="18" spans="1:13" ht="34.200000000000003" customHeight="1">
      <c r="A18" s="17" t="s">
        <v>4638</v>
      </c>
      <c r="B18" s="17" t="s">
        <v>251</v>
      </c>
      <c r="C18" s="18" t="s">
        <v>4639</v>
      </c>
      <c r="D18" s="17" t="s">
        <v>4640</v>
      </c>
      <c r="E18" s="18" t="s">
        <v>4641</v>
      </c>
      <c r="F18" s="17" t="s">
        <v>249</v>
      </c>
      <c r="G18" s="17" t="s">
        <v>4642</v>
      </c>
      <c r="H18" s="19" t="s">
        <v>4564</v>
      </c>
      <c r="I18" s="19" t="s">
        <v>95</v>
      </c>
      <c r="J18" s="24"/>
      <c r="K18" s="20" t="str">
        <f t="shared" si="0"/>
        <v/>
      </c>
      <c r="L18" s="20" t="str">
        <f t="shared" si="1"/>
        <v/>
      </c>
      <c r="M18" s="20" t="str">
        <f>IF(F18="","",IF(COUNTIF('01_rules'!$A$2:$A$39,LEFT(F18,4))=0,"rule 없음",""))</f>
        <v/>
      </c>
    </row>
    <row r="19" spans="1:13" ht="34.200000000000003" customHeight="1">
      <c r="A19" s="17" t="s">
        <v>4643</v>
      </c>
      <c r="B19" s="17" t="s">
        <v>284</v>
      </c>
      <c r="C19" s="18" t="s">
        <v>4644</v>
      </c>
      <c r="D19" s="18" t="s">
        <v>4645</v>
      </c>
      <c r="E19" s="18" t="s">
        <v>4646</v>
      </c>
      <c r="F19" s="17" t="s">
        <v>282</v>
      </c>
      <c r="G19" s="17" t="s">
        <v>4647</v>
      </c>
      <c r="H19" s="19" t="s">
        <v>4564</v>
      </c>
      <c r="I19" s="19" t="s">
        <v>95</v>
      </c>
      <c r="J19" s="24"/>
      <c r="K19" s="20" t="str">
        <f t="shared" si="0"/>
        <v/>
      </c>
      <c r="L19" s="20" t="str">
        <f t="shared" si="1"/>
        <v/>
      </c>
      <c r="M19" s="20" t="str">
        <f>IF(F19="","",IF(COUNTIF('01_rules'!$A$2:$A$39,LEFT(F19,4))=0,"rule 없음",""))</f>
        <v/>
      </c>
    </row>
    <row r="20" spans="1:13" ht="34.200000000000003" customHeight="1">
      <c r="A20" s="17" t="s">
        <v>4648</v>
      </c>
      <c r="B20" s="17" t="s">
        <v>189</v>
      </c>
      <c r="C20" s="18" t="s">
        <v>4649</v>
      </c>
      <c r="D20" s="17" t="s">
        <v>4650</v>
      </c>
      <c r="E20" s="18" t="s">
        <v>4651</v>
      </c>
      <c r="F20" s="17" t="s">
        <v>187</v>
      </c>
      <c r="G20" s="17" t="s">
        <v>1056</v>
      </c>
      <c r="H20" s="19" t="s">
        <v>4564</v>
      </c>
      <c r="I20" s="19" t="s">
        <v>95</v>
      </c>
      <c r="J20" s="24"/>
      <c r="K20" s="20" t="str">
        <f t="shared" si="0"/>
        <v/>
      </c>
      <c r="L20" s="20" t="str">
        <f t="shared" si="1"/>
        <v/>
      </c>
      <c r="M20" s="20" t="str">
        <f>IF(F20="","",IF(COUNTIF('01_rules'!$A$2:$A$39,LEFT(F20,4))=0,"rule 없음",""))</f>
        <v/>
      </c>
    </row>
    <row r="21" spans="1:13" ht="34.200000000000003" customHeight="1">
      <c r="A21" s="17" t="s">
        <v>4652</v>
      </c>
      <c r="B21" s="17" t="s">
        <v>89</v>
      </c>
      <c r="C21" s="18" t="s">
        <v>4653</v>
      </c>
      <c r="D21" s="17" t="s">
        <v>4654</v>
      </c>
      <c r="E21" s="17" t="s">
        <v>4655</v>
      </c>
      <c r="F21" s="17"/>
      <c r="G21" s="17" t="s">
        <v>625</v>
      </c>
      <c r="H21" s="19" t="s">
        <v>4570</v>
      </c>
      <c r="I21" s="19" t="s">
        <v>95</v>
      </c>
      <c r="J21" s="24"/>
      <c r="K21" s="20" t="str">
        <f t="shared" si="0"/>
        <v/>
      </c>
      <c r="L21" s="20" t="str">
        <f t="shared" si="1"/>
        <v/>
      </c>
      <c r="M21" s="20" t="str">
        <f>IF(F21="","",IF(COUNTIF('01_rules'!$A$2:$A$39,LEFT(F21,4))=0,"rule 없음",""))</f>
        <v/>
      </c>
    </row>
    <row r="22" spans="1:13" ht="34.200000000000003" customHeight="1">
      <c r="A22" s="17" t="s">
        <v>4656</v>
      </c>
      <c r="B22" s="17" t="s">
        <v>104</v>
      </c>
      <c r="C22" s="18" t="s">
        <v>4657</v>
      </c>
      <c r="D22" s="17" t="s">
        <v>4658</v>
      </c>
      <c r="E22" s="17" t="s">
        <v>4659</v>
      </c>
      <c r="F22" s="17"/>
      <c r="G22" s="17" t="s">
        <v>694</v>
      </c>
      <c r="H22" s="19" t="s">
        <v>4570</v>
      </c>
      <c r="I22" s="19" t="s">
        <v>95</v>
      </c>
      <c r="J22" s="24"/>
      <c r="K22" s="20" t="str">
        <f t="shared" si="0"/>
        <v/>
      </c>
      <c r="L22" s="20" t="str">
        <f t="shared" si="1"/>
        <v/>
      </c>
      <c r="M22" s="20" t="str">
        <f>IF(F22="","",IF(COUNTIF('01_rules'!$A$2:$A$39,LEFT(F22,4))=0,"rule 없음",""))</f>
        <v/>
      </c>
    </row>
    <row r="23" spans="1:13" ht="34.200000000000003" customHeight="1">
      <c r="A23" s="17" t="s">
        <v>4660</v>
      </c>
      <c r="B23" s="17" t="s">
        <v>130</v>
      </c>
      <c r="C23" s="18" t="s">
        <v>4661</v>
      </c>
      <c r="D23" s="17" t="s">
        <v>4662</v>
      </c>
      <c r="E23" s="17" t="s">
        <v>4663</v>
      </c>
      <c r="F23" s="17"/>
      <c r="G23" s="17" t="s">
        <v>814</v>
      </c>
      <c r="H23" s="19" t="s">
        <v>4570</v>
      </c>
      <c r="I23" s="19" t="s">
        <v>95</v>
      </c>
      <c r="J23" s="24"/>
      <c r="K23" s="20" t="str">
        <f t="shared" si="0"/>
        <v/>
      </c>
      <c r="L23" s="20" t="str">
        <f t="shared" si="1"/>
        <v/>
      </c>
      <c r="M23" s="20" t="str">
        <f>IF(F23="","",IF(COUNTIF('01_rules'!$A$2:$A$39,LEFT(F23,4))=0,"rule 없음",""))</f>
        <v/>
      </c>
    </row>
    <row r="24" spans="1:13" ht="34.200000000000003" customHeight="1">
      <c r="A24" s="17" t="s">
        <v>4664</v>
      </c>
      <c r="B24" s="17" t="s">
        <v>143</v>
      </c>
      <c r="C24" s="18" t="s">
        <v>4665</v>
      </c>
      <c r="D24" s="17" t="s">
        <v>4666</v>
      </c>
      <c r="E24" s="17" t="s">
        <v>4667</v>
      </c>
      <c r="F24" s="17"/>
      <c r="G24" s="17" t="s">
        <v>871</v>
      </c>
      <c r="H24" s="19" t="s">
        <v>4570</v>
      </c>
      <c r="I24" s="19" t="s">
        <v>95</v>
      </c>
      <c r="J24" s="24"/>
      <c r="K24" s="20" t="str">
        <f t="shared" si="0"/>
        <v/>
      </c>
      <c r="L24" s="20" t="str">
        <f t="shared" si="1"/>
        <v/>
      </c>
      <c r="M24" s="20" t="str">
        <f>IF(F24="","",IF(COUNTIF('01_rules'!$A$2:$A$39,LEFT(F24,4))=0,"rule 없음",""))</f>
        <v/>
      </c>
    </row>
    <row r="25" spans="1:13" ht="34.200000000000003" customHeight="1">
      <c r="A25" s="17" t="s">
        <v>4668</v>
      </c>
      <c r="B25" s="17" t="s">
        <v>210</v>
      </c>
      <c r="C25" s="18" t="s">
        <v>4669</v>
      </c>
      <c r="D25" s="17" t="s">
        <v>4670</v>
      </c>
      <c r="E25" s="17" t="s">
        <v>4671</v>
      </c>
      <c r="F25" s="17"/>
      <c r="G25" s="17" t="s">
        <v>1287</v>
      </c>
      <c r="H25" s="19" t="s">
        <v>4570</v>
      </c>
      <c r="I25" s="19" t="s">
        <v>95</v>
      </c>
      <c r="J25" s="24"/>
      <c r="K25" s="20" t="str">
        <f t="shared" si="0"/>
        <v/>
      </c>
      <c r="L25" s="20" t="str">
        <f t="shared" si="1"/>
        <v/>
      </c>
      <c r="M25" s="20" t="str">
        <f>IF(F25="","",IF(COUNTIF('01_rules'!$A$2:$A$39,LEFT(F25,4))=0,"rule 없음",""))</f>
        <v/>
      </c>
    </row>
    <row r="26" spans="1:13" ht="34.200000000000003" customHeight="1">
      <c r="A26" s="17" t="s">
        <v>4672</v>
      </c>
      <c r="B26" s="17" t="s">
        <v>217</v>
      </c>
      <c r="C26" s="18" t="s">
        <v>4673</v>
      </c>
      <c r="D26" s="17" t="s">
        <v>4674</v>
      </c>
      <c r="E26" s="17" t="s">
        <v>4675</v>
      </c>
      <c r="F26" s="17"/>
      <c r="G26" s="17" t="s">
        <v>1344</v>
      </c>
      <c r="H26" s="19" t="s">
        <v>4570</v>
      </c>
      <c r="I26" s="19" t="s">
        <v>95</v>
      </c>
      <c r="J26" s="24"/>
      <c r="K26" s="20" t="str">
        <f t="shared" si="0"/>
        <v/>
      </c>
      <c r="L26" s="20" t="str">
        <f t="shared" si="1"/>
        <v/>
      </c>
      <c r="M26" s="20" t="str">
        <f>IF(F26="","",IF(COUNTIF('01_rules'!$A$2:$A$39,LEFT(F26,4))=0,"rule 없음",""))</f>
        <v/>
      </c>
    </row>
    <row r="27" spans="1:13" ht="34.200000000000003" customHeight="1">
      <c r="A27" s="17" t="s">
        <v>4676</v>
      </c>
      <c r="B27" s="17" t="s">
        <v>237</v>
      </c>
      <c r="C27" s="18" t="s">
        <v>4677</v>
      </c>
      <c r="D27" s="17" t="s">
        <v>4678</v>
      </c>
      <c r="E27" s="17" t="s">
        <v>4679</v>
      </c>
      <c r="F27" s="17"/>
      <c r="G27" s="17" t="s">
        <v>1473</v>
      </c>
      <c r="H27" s="19" t="s">
        <v>4570</v>
      </c>
      <c r="I27" s="19" t="s">
        <v>95</v>
      </c>
      <c r="J27" s="24"/>
      <c r="K27" s="20" t="str">
        <f t="shared" si="0"/>
        <v/>
      </c>
      <c r="L27" s="20" t="str">
        <f t="shared" si="1"/>
        <v/>
      </c>
      <c r="M27" s="20" t="str">
        <f>IF(F27="","",IF(COUNTIF('01_rules'!$A$2:$A$39,LEFT(F27,4))=0,"rule 없음",""))</f>
        <v/>
      </c>
    </row>
    <row r="28" spans="1:13" ht="34.200000000000003" customHeight="1">
      <c r="A28" s="17" t="s">
        <v>4680</v>
      </c>
      <c r="B28" s="17" t="s">
        <v>284</v>
      </c>
      <c r="C28" s="18" t="s">
        <v>4681</v>
      </c>
      <c r="D28" s="17" t="s">
        <v>4682</v>
      </c>
      <c r="E28" s="17" t="s">
        <v>4683</v>
      </c>
      <c r="F28" s="17"/>
      <c r="G28" s="17" t="s">
        <v>1772</v>
      </c>
      <c r="H28" s="19" t="s">
        <v>4570</v>
      </c>
      <c r="I28" s="19" t="s">
        <v>95</v>
      </c>
      <c r="J28" s="24"/>
      <c r="K28" s="20" t="str">
        <f t="shared" si="0"/>
        <v/>
      </c>
      <c r="L28" s="20" t="str">
        <f t="shared" si="1"/>
        <v/>
      </c>
      <c r="M28" s="20" t="str">
        <f>IF(F28="","",IF(COUNTIF('01_rules'!$A$2:$A$39,LEFT(F28,4))=0,"rule 없음",""))</f>
        <v/>
      </c>
    </row>
    <row r="29" spans="1:13" ht="34.200000000000003" customHeight="1">
      <c r="A29" s="17" t="s">
        <v>4684</v>
      </c>
      <c r="B29" s="17" t="s">
        <v>143</v>
      </c>
      <c r="C29" s="18" t="s">
        <v>4685</v>
      </c>
      <c r="D29" s="18" t="s">
        <v>4686</v>
      </c>
      <c r="E29" s="17" t="s">
        <v>4687</v>
      </c>
      <c r="F29" s="17" t="s">
        <v>141</v>
      </c>
      <c r="G29" s="17" t="s">
        <v>826</v>
      </c>
      <c r="H29" s="19" t="s">
        <v>4582</v>
      </c>
      <c r="I29" s="19" t="s">
        <v>95</v>
      </c>
      <c r="J29" s="24"/>
      <c r="K29" s="20" t="str">
        <f t="shared" si="0"/>
        <v/>
      </c>
      <c r="L29" s="20" t="str">
        <f t="shared" si="1"/>
        <v/>
      </c>
      <c r="M29" s="20" t="str">
        <f>IF(F29="","",IF(COUNTIF('01_rules'!$A$2:$A$39,LEFT(F29,4))=0,"rule 없음",""))</f>
        <v/>
      </c>
    </row>
    <row r="30" spans="1:13" ht="34.200000000000003" customHeight="1">
      <c r="A30" s="17" t="s">
        <v>4688</v>
      </c>
      <c r="B30" s="17" t="s">
        <v>210</v>
      </c>
      <c r="C30" s="18" t="s">
        <v>4689</v>
      </c>
      <c r="D30" s="18" t="s">
        <v>4690</v>
      </c>
      <c r="E30" s="17" t="s">
        <v>4691</v>
      </c>
      <c r="F30" s="17" t="s">
        <v>208</v>
      </c>
      <c r="G30" s="17" t="s">
        <v>1242</v>
      </c>
      <c r="H30" s="19" t="s">
        <v>4582</v>
      </c>
      <c r="I30" s="19" t="s">
        <v>95</v>
      </c>
      <c r="J30" s="24"/>
      <c r="K30" s="20" t="str">
        <f t="shared" si="0"/>
        <v/>
      </c>
      <c r="L30" s="20" t="str">
        <f t="shared" si="1"/>
        <v/>
      </c>
      <c r="M30" s="20" t="str">
        <f>IF(F30="","",IF(COUNTIF('01_rules'!$A$2:$A$39,LEFT(F30,4))=0,"rule 없음",""))</f>
        <v/>
      </c>
    </row>
    <row r="31" spans="1:13" ht="34.200000000000003" customHeight="1">
      <c r="A31" s="17" t="s">
        <v>4692</v>
      </c>
      <c r="B31" s="17" t="s">
        <v>237</v>
      </c>
      <c r="C31" s="18" t="s">
        <v>4693</v>
      </c>
      <c r="D31" s="18" t="s">
        <v>4694</v>
      </c>
      <c r="E31" s="17" t="s">
        <v>4695</v>
      </c>
      <c r="F31" s="17" t="s">
        <v>235</v>
      </c>
      <c r="G31" s="17" t="s">
        <v>1419</v>
      </c>
      <c r="H31" s="19" t="s">
        <v>4582</v>
      </c>
      <c r="I31" s="19" t="s">
        <v>95</v>
      </c>
      <c r="J31" s="24"/>
      <c r="K31" s="20" t="str">
        <f t="shared" si="0"/>
        <v/>
      </c>
      <c r="L31" s="20" t="str">
        <f t="shared" si="1"/>
        <v/>
      </c>
      <c r="M31" s="20" t="str">
        <f>IF(F31="","",IF(COUNTIF('01_rules'!$A$2:$A$39,LEFT(F31,4))=0,"rule 없음",""))</f>
        <v/>
      </c>
    </row>
    <row r="32" spans="1:13" ht="34.200000000000003" customHeight="1">
      <c r="A32" s="17" t="s">
        <v>4696</v>
      </c>
      <c r="B32" s="17" t="s">
        <v>264</v>
      </c>
      <c r="C32" s="18" t="s">
        <v>4697</v>
      </c>
      <c r="D32" s="18" t="s">
        <v>4698</v>
      </c>
      <c r="E32" s="17" t="s">
        <v>4699</v>
      </c>
      <c r="F32" s="17" t="s">
        <v>262</v>
      </c>
      <c r="G32" s="17" t="s">
        <v>4700</v>
      </c>
      <c r="H32" s="19" t="s">
        <v>4582</v>
      </c>
      <c r="I32" s="19" t="s">
        <v>95</v>
      </c>
      <c r="J32" s="24"/>
      <c r="K32" s="20" t="str">
        <f t="shared" si="0"/>
        <v/>
      </c>
      <c r="L32" s="20" t="str">
        <f t="shared" si="1"/>
        <v/>
      </c>
      <c r="M32" s="20" t="str">
        <f>IF(F32="","",IF(COUNTIF('01_rules'!$A$2:$A$39,LEFT(F32,4))=0,"rule 없음",""))</f>
        <v/>
      </c>
    </row>
    <row r="33" spans="1:13" ht="34.200000000000003" customHeight="1">
      <c r="A33" s="17" t="s">
        <v>4701</v>
      </c>
      <c r="B33" s="17" t="s">
        <v>89</v>
      </c>
      <c r="C33" s="18" t="s">
        <v>4702</v>
      </c>
      <c r="D33" s="17" t="s">
        <v>4703</v>
      </c>
      <c r="E33" s="18" t="s">
        <v>4704</v>
      </c>
      <c r="F33" s="17" t="s">
        <v>96</v>
      </c>
      <c r="G33" s="17" t="s">
        <v>577</v>
      </c>
      <c r="H33" s="19" t="s">
        <v>4564</v>
      </c>
      <c r="I33" s="19" t="s">
        <v>95</v>
      </c>
      <c r="J33" s="24"/>
      <c r="K33" s="20" t="str">
        <f t="shared" si="0"/>
        <v/>
      </c>
      <c r="L33" s="20" t="str">
        <f t="shared" si="1"/>
        <v/>
      </c>
      <c r="M33" s="20" t="str">
        <f>IF(F33="","",IF(COUNTIF('01_rules'!$A$2:$A$39,LEFT(F33,4))=0,"rule 없음",""))</f>
        <v/>
      </c>
    </row>
    <row r="34" spans="1:13" ht="34.200000000000003" customHeight="1">
      <c r="A34" s="17" t="s">
        <v>4705</v>
      </c>
      <c r="B34" s="17" t="s">
        <v>104</v>
      </c>
      <c r="C34" s="18" t="s">
        <v>4706</v>
      </c>
      <c r="D34" s="17" t="s">
        <v>4707</v>
      </c>
      <c r="E34" s="18" t="s">
        <v>4708</v>
      </c>
      <c r="F34" s="17" t="s">
        <v>109</v>
      </c>
      <c r="G34" s="17" t="s">
        <v>4709</v>
      </c>
      <c r="H34" s="19" t="s">
        <v>4564</v>
      </c>
      <c r="I34" s="19" t="s">
        <v>95</v>
      </c>
      <c r="J34" s="24"/>
      <c r="K34" s="20" t="str">
        <f t="shared" ref="K34:K65" si="2">IF(A34="","",IF(COUNTIF($A$2:$A$75,A34)&gt;1,"중복",""))</f>
        <v/>
      </c>
      <c r="L34" s="20" t="str">
        <f t="shared" ref="L34:L65" si="3">IF(D34="","",IF(LEN(D34)-LEN(SUBSTITUTE(D34,";",""))+1&lt;3,"3개 미만",""))</f>
        <v/>
      </c>
      <c r="M34" s="20" t="str">
        <f>IF(F34="","",IF(COUNTIF('01_rules'!$A$2:$A$39,LEFT(F34,4))=0,"rule 없음",""))</f>
        <v/>
      </c>
    </row>
    <row r="35" spans="1:13" ht="34.200000000000003" customHeight="1">
      <c r="A35" s="17" t="s">
        <v>4710</v>
      </c>
      <c r="B35" s="17" t="s">
        <v>117</v>
      </c>
      <c r="C35" s="18" t="s">
        <v>4711</v>
      </c>
      <c r="D35" s="18" t="s">
        <v>4712</v>
      </c>
      <c r="E35" s="18" t="s">
        <v>4713</v>
      </c>
      <c r="F35" s="17" t="s">
        <v>122</v>
      </c>
      <c r="G35" s="17" t="s">
        <v>4714</v>
      </c>
      <c r="H35" s="19" t="s">
        <v>4564</v>
      </c>
      <c r="I35" s="19" t="s">
        <v>95</v>
      </c>
      <c r="J35" s="24"/>
      <c r="K35" s="20" t="str">
        <f t="shared" si="2"/>
        <v/>
      </c>
      <c r="L35" s="20" t="str">
        <f t="shared" si="3"/>
        <v/>
      </c>
      <c r="M35" s="20" t="str">
        <f>IF(F35="","",IF(COUNTIF('01_rules'!$A$2:$A$39,LEFT(F35,4))=0,"rule 없음",""))</f>
        <v/>
      </c>
    </row>
    <row r="36" spans="1:13" ht="34.200000000000003" customHeight="1">
      <c r="A36" s="17" t="s">
        <v>4715</v>
      </c>
      <c r="B36" s="17" t="s">
        <v>130</v>
      </c>
      <c r="C36" s="18" t="s">
        <v>4716</v>
      </c>
      <c r="D36" s="17" t="s">
        <v>4717</v>
      </c>
      <c r="E36" s="18" t="s">
        <v>4718</v>
      </c>
      <c r="F36" s="17" t="s">
        <v>135</v>
      </c>
      <c r="G36" s="17" t="s">
        <v>4719</v>
      </c>
      <c r="H36" s="19" t="s">
        <v>4564</v>
      </c>
      <c r="I36" s="19" t="s">
        <v>95</v>
      </c>
      <c r="J36" s="24"/>
      <c r="K36" s="20" t="str">
        <f t="shared" si="2"/>
        <v/>
      </c>
      <c r="L36" s="20" t="str">
        <f t="shared" si="3"/>
        <v/>
      </c>
      <c r="M36" s="20" t="str">
        <f>IF(F36="","",IF(COUNTIF('01_rules'!$A$2:$A$39,LEFT(F36,4))=0,"rule 없음",""))</f>
        <v/>
      </c>
    </row>
    <row r="37" spans="1:13" ht="34.200000000000003" customHeight="1">
      <c r="A37" s="17" t="s">
        <v>4720</v>
      </c>
      <c r="B37" s="17" t="s">
        <v>143</v>
      </c>
      <c r="C37" s="18" t="s">
        <v>4721</v>
      </c>
      <c r="D37" s="17" t="s">
        <v>4722</v>
      </c>
      <c r="E37" s="18" t="s">
        <v>4723</v>
      </c>
      <c r="F37" s="17" t="s">
        <v>148</v>
      </c>
      <c r="G37" s="17" t="s">
        <v>832</v>
      </c>
      <c r="H37" s="19" t="s">
        <v>4564</v>
      </c>
      <c r="I37" s="19" t="s">
        <v>95</v>
      </c>
      <c r="J37" s="24"/>
      <c r="K37" s="20" t="str">
        <f t="shared" si="2"/>
        <v/>
      </c>
      <c r="L37" s="20" t="str">
        <f t="shared" si="3"/>
        <v/>
      </c>
      <c r="M37" s="20" t="str">
        <f>IF(F37="","",IF(COUNTIF('01_rules'!$A$2:$A$39,LEFT(F37,4))=0,"rule 없음",""))</f>
        <v/>
      </c>
    </row>
    <row r="38" spans="1:13" ht="34.200000000000003" customHeight="1">
      <c r="A38" s="17" t="s">
        <v>4724</v>
      </c>
      <c r="B38" s="17" t="s">
        <v>163</v>
      </c>
      <c r="C38" s="18" t="s">
        <v>4725</v>
      </c>
      <c r="D38" s="17" t="s">
        <v>4726</v>
      </c>
      <c r="E38" s="18" t="s">
        <v>4727</v>
      </c>
      <c r="F38" s="17" t="s">
        <v>161</v>
      </c>
      <c r="G38" s="17" t="s">
        <v>4728</v>
      </c>
      <c r="H38" s="19" t="s">
        <v>4564</v>
      </c>
      <c r="I38" s="19" t="s">
        <v>95</v>
      </c>
      <c r="J38" s="24"/>
      <c r="K38" s="20" t="str">
        <f t="shared" si="2"/>
        <v/>
      </c>
      <c r="L38" s="20" t="str">
        <f t="shared" si="3"/>
        <v/>
      </c>
      <c r="M38" s="20" t="str">
        <f>IF(F38="","",IF(COUNTIF('01_rules'!$A$2:$A$39,LEFT(F38,4))=0,"rule 없음",""))</f>
        <v/>
      </c>
    </row>
    <row r="39" spans="1:13" ht="34.200000000000003" customHeight="1">
      <c r="A39" s="17" t="s">
        <v>4729</v>
      </c>
      <c r="B39" s="17" t="s">
        <v>163</v>
      </c>
      <c r="C39" s="18" t="s">
        <v>4730</v>
      </c>
      <c r="D39" s="17" t="s">
        <v>4731</v>
      </c>
      <c r="E39" s="18" t="s">
        <v>4732</v>
      </c>
      <c r="F39" s="17" t="s">
        <v>168</v>
      </c>
      <c r="G39" s="17" t="s">
        <v>975</v>
      </c>
      <c r="H39" s="19" t="s">
        <v>4564</v>
      </c>
      <c r="I39" s="19" t="s">
        <v>95</v>
      </c>
      <c r="J39" s="24"/>
      <c r="K39" s="20" t="str">
        <f t="shared" si="2"/>
        <v/>
      </c>
      <c r="L39" s="20" t="str">
        <f t="shared" si="3"/>
        <v/>
      </c>
      <c r="M39" s="20" t="str">
        <f>IF(F39="","",IF(COUNTIF('01_rules'!$A$2:$A$39,LEFT(F39,4))=0,"rule 없음",""))</f>
        <v/>
      </c>
    </row>
    <row r="40" spans="1:13" ht="34.200000000000003" customHeight="1">
      <c r="A40" s="17" t="s">
        <v>4733</v>
      </c>
      <c r="B40" s="17" t="s">
        <v>176</v>
      </c>
      <c r="C40" s="18" t="s">
        <v>4734</v>
      </c>
      <c r="D40" s="17" t="s">
        <v>4735</v>
      </c>
      <c r="E40" s="18" t="s">
        <v>4736</v>
      </c>
      <c r="F40" s="17" t="s">
        <v>181</v>
      </c>
      <c r="G40" s="17" t="s">
        <v>4737</v>
      </c>
      <c r="H40" s="19" t="s">
        <v>4564</v>
      </c>
      <c r="I40" s="19" t="s">
        <v>95</v>
      </c>
      <c r="J40" s="24"/>
      <c r="K40" s="20" t="str">
        <f t="shared" si="2"/>
        <v/>
      </c>
      <c r="L40" s="20" t="str">
        <f t="shared" si="3"/>
        <v/>
      </c>
      <c r="M40" s="20" t="str">
        <f>IF(F40="","",IF(COUNTIF('01_rules'!$A$2:$A$39,LEFT(F40,4))=0,"rule 없음",""))</f>
        <v/>
      </c>
    </row>
    <row r="41" spans="1:13" ht="34.200000000000003" customHeight="1">
      <c r="A41" s="17" t="s">
        <v>4738</v>
      </c>
      <c r="B41" s="17" t="s">
        <v>203</v>
      </c>
      <c r="C41" s="18" t="s">
        <v>4739</v>
      </c>
      <c r="D41" s="17" t="s">
        <v>4740</v>
      </c>
      <c r="E41" s="18" t="s">
        <v>4741</v>
      </c>
      <c r="F41" s="17" t="s">
        <v>201</v>
      </c>
      <c r="G41" s="17" t="s">
        <v>4742</v>
      </c>
      <c r="H41" s="19" t="s">
        <v>4564</v>
      </c>
      <c r="I41" s="19" t="s">
        <v>95</v>
      </c>
      <c r="J41" s="24"/>
      <c r="K41" s="20" t="str">
        <f t="shared" si="2"/>
        <v/>
      </c>
      <c r="L41" s="20" t="str">
        <f t="shared" si="3"/>
        <v/>
      </c>
      <c r="M41" s="20" t="str">
        <f>IF(F41="","",IF(COUNTIF('01_rules'!$A$2:$A$39,LEFT(F41,4))=0,"rule 없음",""))</f>
        <v/>
      </c>
    </row>
    <row r="42" spans="1:13" ht="34.200000000000003" customHeight="1">
      <c r="A42" s="17" t="s">
        <v>4743</v>
      </c>
      <c r="B42" s="17" t="s">
        <v>217</v>
      </c>
      <c r="C42" s="18" t="s">
        <v>4744</v>
      </c>
      <c r="D42" s="17" t="s">
        <v>4745</v>
      </c>
      <c r="E42" s="18" t="s">
        <v>4746</v>
      </c>
      <c r="F42" s="17" t="s">
        <v>215</v>
      </c>
      <c r="G42" s="17" t="s">
        <v>1296</v>
      </c>
      <c r="H42" s="19" t="s">
        <v>4564</v>
      </c>
      <c r="I42" s="19" t="s">
        <v>95</v>
      </c>
      <c r="J42" s="24"/>
      <c r="K42" t="str">
        <f t="shared" si="2"/>
        <v/>
      </c>
      <c r="L42" t="str">
        <f t="shared" si="3"/>
        <v/>
      </c>
      <c r="M42" t="str">
        <f>IF(F42="","",IF(COUNTIF('01_rules'!$A$2:$A$39,LEFT(F42,4))=0,"rule 없음",""))</f>
        <v/>
      </c>
    </row>
    <row r="43" spans="1:13" ht="34.200000000000003" customHeight="1">
      <c r="A43" s="17" t="s">
        <v>4747</v>
      </c>
      <c r="B43" s="17" t="s">
        <v>224</v>
      </c>
      <c r="C43" s="18" t="s">
        <v>4748</v>
      </c>
      <c r="D43" s="18" t="s">
        <v>4749</v>
      </c>
      <c r="E43" s="17" t="s">
        <v>4750</v>
      </c>
      <c r="F43" s="17" t="s">
        <v>229</v>
      </c>
      <c r="G43" s="17" t="s">
        <v>4751</v>
      </c>
      <c r="H43" s="19" t="s">
        <v>4564</v>
      </c>
      <c r="I43" s="19" t="s">
        <v>95</v>
      </c>
      <c r="J43" s="24"/>
      <c r="K43" t="str">
        <f t="shared" si="2"/>
        <v/>
      </c>
      <c r="L43" t="str">
        <f t="shared" si="3"/>
        <v/>
      </c>
      <c r="M43" t="str">
        <f>IF(F43="","",IF(COUNTIF('01_rules'!$A$2:$A$39,LEFT(F43,4))=0,"rule 없음",""))</f>
        <v/>
      </c>
    </row>
    <row r="44" spans="1:13" ht="34.200000000000003" customHeight="1">
      <c r="A44" s="17" t="s">
        <v>4752</v>
      </c>
      <c r="B44" s="17" t="s">
        <v>244</v>
      </c>
      <c r="C44" s="18" t="s">
        <v>4753</v>
      </c>
      <c r="D44" s="17" t="s">
        <v>4754</v>
      </c>
      <c r="E44" s="18" t="s">
        <v>4755</v>
      </c>
      <c r="F44" s="17" t="s">
        <v>242</v>
      </c>
      <c r="G44" s="17" t="s">
        <v>1479</v>
      </c>
      <c r="H44" s="19" t="s">
        <v>4564</v>
      </c>
      <c r="I44" s="19" t="s">
        <v>95</v>
      </c>
      <c r="J44" s="24"/>
      <c r="K44" t="str">
        <f t="shared" si="2"/>
        <v/>
      </c>
      <c r="L44" t="str">
        <f t="shared" si="3"/>
        <v/>
      </c>
      <c r="M44" t="str">
        <f>IF(F44="","",IF(COUNTIF('01_rules'!$A$2:$A$39,LEFT(F44,4))=0,"rule 없음",""))</f>
        <v/>
      </c>
    </row>
    <row r="45" spans="1:13" ht="34.200000000000003" customHeight="1">
      <c r="A45" s="17" t="s">
        <v>4756</v>
      </c>
      <c r="B45" s="17" t="s">
        <v>251</v>
      </c>
      <c r="C45" s="18" t="s">
        <v>4757</v>
      </c>
      <c r="D45" s="17" t="s">
        <v>4758</v>
      </c>
      <c r="E45" s="18" t="s">
        <v>4759</v>
      </c>
      <c r="F45" s="17" t="s">
        <v>256</v>
      </c>
      <c r="G45" s="17" t="s">
        <v>4760</v>
      </c>
      <c r="H45" s="19" t="s">
        <v>4564</v>
      </c>
      <c r="I45" s="19" t="s">
        <v>95</v>
      </c>
      <c r="J45" s="24"/>
      <c r="K45" t="str">
        <f t="shared" si="2"/>
        <v/>
      </c>
      <c r="L45" t="str">
        <f t="shared" si="3"/>
        <v/>
      </c>
      <c r="M45" t="str">
        <f>IF(F45="","",IF(COUNTIF('01_rules'!$A$2:$A$39,LEFT(F45,4))=0,"rule 없음",""))</f>
        <v/>
      </c>
    </row>
    <row r="46" spans="1:13" ht="34.200000000000003" customHeight="1">
      <c r="A46" s="17" t="s">
        <v>4761</v>
      </c>
      <c r="B46" s="17" t="s">
        <v>264</v>
      </c>
      <c r="C46" s="18" t="s">
        <v>4762</v>
      </c>
      <c r="D46" s="17" t="s">
        <v>4763</v>
      </c>
      <c r="E46" s="18" t="s">
        <v>4764</v>
      </c>
      <c r="F46" s="17" t="s">
        <v>269</v>
      </c>
      <c r="G46" s="17" t="s">
        <v>4765</v>
      </c>
      <c r="H46" s="19" t="s">
        <v>4564</v>
      </c>
      <c r="I46" s="19" t="s">
        <v>95</v>
      </c>
      <c r="J46" s="24"/>
      <c r="K46" t="str">
        <f t="shared" si="2"/>
        <v/>
      </c>
      <c r="L46" t="str">
        <f t="shared" si="3"/>
        <v/>
      </c>
      <c r="M46" t="str">
        <f>IF(F46="","",IF(COUNTIF('01_rules'!$A$2:$A$39,LEFT(F46,4))=0,"rule 없음",""))</f>
        <v/>
      </c>
    </row>
    <row r="47" spans="1:13" ht="34.200000000000003" customHeight="1">
      <c r="A47" s="17" t="s">
        <v>4766</v>
      </c>
      <c r="B47" s="17" t="s">
        <v>277</v>
      </c>
      <c r="C47" s="18" t="s">
        <v>4767</v>
      </c>
      <c r="D47" s="17" t="s">
        <v>4768</v>
      </c>
      <c r="E47" s="18" t="s">
        <v>4769</v>
      </c>
      <c r="F47" s="17" t="s">
        <v>275</v>
      </c>
      <c r="G47" s="17" t="s">
        <v>1664</v>
      </c>
      <c r="H47" s="19" t="s">
        <v>4564</v>
      </c>
      <c r="I47" s="19" t="s">
        <v>95</v>
      </c>
      <c r="J47" s="24"/>
      <c r="K47" t="str">
        <f t="shared" si="2"/>
        <v/>
      </c>
      <c r="L47" t="str">
        <f t="shared" si="3"/>
        <v/>
      </c>
      <c r="M47" t="str">
        <f>IF(F47="","",IF(COUNTIF('01_rules'!$A$2:$A$39,LEFT(F47,4))=0,"rule 없음",""))</f>
        <v/>
      </c>
    </row>
    <row r="48" spans="1:13" ht="34.200000000000003" customHeight="1">
      <c r="A48" s="17" t="s">
        <v>4770</v>
      </c>
      <c r="B48" s="17" t="s">
        <v>299</v>
      </c>
      <c r="C48" s="18" t="s">
        <v>4771</v>
      </c>
      <c r="D48" s="18" t="s">
        <v>4772</v>
      </c>
      <c r="E48" s="18" t="s">
        <v>4773</v>
      </c>
      <c r="F48" s="17" t="s">
        <v>304</v>
      </c>
      <c r="G48" s="17" t="s">
        <v>4774</v>
      </c>
      <c r="H48" s="19" t="s">
        <v>4564</v>
      </c>
      <c r="I48" s="19" t="s">
        <v>95</v>
      </c>
      <c r="J48" s="24"/>
      <c r="K48" t="str">
        <f t="shared" si="2"/>
        <v/>
      </c>
      <c r="L48" t="str">
        <f t="shared" si="3"/>
        <v/>
      </c>
      <c r="M48" t="str">
        <f>IF(F48="","",IF(COUNTIF('01_rules'!$A$2:$A$39,LEFT(F48,4))=0,"rule 없음",""))</f>
        <v/>
      </c>
    </row>
    <row r="49" spans="1:13" ht="34.200000000000003" customHeight="1">
      <c r="A49" s="17" t="s">
        <v>4775</v>
      </c>
      <c r="B49" s="17" t="s">
        <v>299</v>
      </c>
      <c r="C49" s="18" t="s">
        <v>4776</v>
      </c>
      <c r="D49" s="18" t="s">
        <v>4777</v>
      </c>
      <c r="E49" s="18" t="s">
        <v>4778</v>
      </c>
      <c r="F49" s="17" t="s">
        <v>316</v>
      </c>
      <c r="G49" s="17" t="s">
        <v>4779</v>
      </c>
      <c r="H49" s="19" t="s">
        <v>4564</v>
      </c>
      <c r="I49" s="19" t="s">
        <v>95</v>
      </c>
      <c r="J49" s="24"/>
      <c r="K49" t="str">
        <f t="shared" si="2"/>
        <v/>
      </c>
      <c r="L49" t="str">
        <f t="shared" si="3"/>
        <v/>
      </c>
      <c r="M49" t="str">
        <f>IF(F49="","",IF(COUNTIF('01_rules'!$A$2:$A$39,LEFT(F49,4))=0,"rule 없음",""))</f>
        <v/>
      </c>
    </row>
    <row r="50" spans="1:13" ht="34.200000000000003" customHeight="1">
      <c r="A50" s="17" t="s">
        <v>4780</v>
      </c>
      <c r="B50" s="17" t="s">
        <v>299</v>
      </c>
      <c r="C50" s="18" t="s">
        <v>4781</v>
      </c>
      <c r="D50" s="17" t="s">
        <v>4782</v>
      </c>
      <c r="E50" s="18" t="s">
        <v>4783</v>
      </c>
      <c r="F50" s="17" t="s">
        <v>323</v>
      </c>
      <c r="G50" s="17" t="s">
        <v>4784</v>
      </c>
      <c r="H50" s="19" t="s">
        <v>4564</v>
      </c>
      <c r="I50" s="19" t="s">
        <v>95</v>
      </c>
      <c r="J50" s="24"/>
      <c r="K50" t="str">
        <f t="shared" si="2"/>
        <v/>
      </c>
      <c r="L50" t="str">
        <f t="shared" si="3"/>
        <v/>
      </c>
      <c r="M50" t="str">
        <f>IF(F50="","",IF(COUNTIF('01_rules'!$A$2:$A$39,LEFT(F50,4))=0,"rule 없음",""))</f>
        <v/>
      </c>
    </row>
    <row r="51" spans="1:13" ht="34.200000000000003" customHeight="1">
      <c r="A51" s="17" t="s">
        <v>4785</v>
      </c>
      <c r="B51" s="17" t="s">
        <v>299</v>
      </c>
      <c r="C51" s="18" t="s">
        <v>4786</v>
      </c>
      <c r="D51" s="17" t="s">
        <v>4787</v>
      </c>
      <c r="E51" s="18" t="s">
        <v>4788</v>
      </c>
      <c r="F51" s="17" t="s">
        <v>329</v>
      </c>
      <c r="G51" s="17" t="s">
        <v>4789</v>
      </c>
      <c r="H51" s="19" t="s">
        <v>4564</v>
      </c>
      <c r="I51" s="19" t="s">
        <v>95</v>
      </c>
      <c r="J51" s="24"/>
      <c r="K51" t="str">
        <f t="shared" si="2"/>
        <v/>
      </c>
      <c r="L51" t="str">
        <f t="shared" si="3"/>
        <v/>
      </c>
      <c r="M51" t="str">
        <f>IF(F51="","",IF(COUNTIF('01_rules'!$A$2:$A$39,LEFT(F51,4))=0,"rule 없음",""))</f>
        <v/>
      </c>
    </row>
    <row r="52" spans="1:13" ht="34.200000000000003" customHeight="1">
      <c r="A52" s="17" t="s">
        <v>4790</v>
      </c>
      <c r="B52" s="17" t="s">
        <v>89</v>
      </c>
      <c r="C52" s="18" t="s">
        <v>4791</v>
      </c>
      <c r="D52" s="17" t="s">
        <v>4792</v>
      </c>
      <c r="E52" s="17" t="s">
        <v>4793</v>
      </c>
      <c r="F52" s="17"/>
      <c r="G52" s="17" t="s">
        <v>628</v>
      </c>
      <c r="H52" s="19" t="s">
        <v>4570</v>
      </c>
      <c r="I52" s="19" t="s">
        <v>95</v>
      </c>
      <c r="J52" s="24"/>
      <c r="K52" t="str">
        <f t="shared" si="2"/>
        <v/>
      </c>
      <c r="L52" t="str">
        <f t="shared" si="3"/>
        <v/>
      </c>
      <c r="M52" t="str">
        <f>IF(F52="","",IF(COUNTIF('01_rules'!$A$2:$A$39,LEFT(F52,4))=0,"rule 없음",""))</f>
        <v/>
      </c>
    </row>
    <row r="53" spans="1:13" ht="34.200000000000003" customHeight="1">
      <c r="A53" s="17" t="s">
        <v>4794</v>
      </c>
      <c r="B53" s="17" t="s">
        <v>104</v>
      </c>
      <c r="C53" s="18" t="s">
        <v>4795</v>
      </c>
      <c r="D53" s="17" t="s">
        <v>4796</v>
      </c>
      <c r="E53" s="17" t="s">
        <v>4797</v>
      </c>
      <c r="F53" s="17"/>
      <c r="G53" s="17" t="s">
        <v>685</v>
      </c>
      <c r="H53" s="19" t="s">
        <v>4570</v>
      </c>
      <c r="I53" s="19" t="s">
        <v>95</v>
      </c>
      <c r="J53" s="24"/>
      <c r="K53" t="str">
        <f t="shared" si="2"/>
        <v/>
      </c>
      <c r="L53" t="str">
        <f t="shared" si="3"/>
        <v/>
      </c>
      <c r="M53" t="str">
        <f>IF(F53="","",IF(COUNTIF('01_rules'!$A$2:$A$39,LEFT(F53,4))=0,"rule 없음",""))</f>
        <v/>
      </c>
    </row>
    <row r="54" spans="1:13" ht="34.200000000000003" customHeight="1">
      <c r="A54" s="17" t="s">
        <v>4798</v>
      </c>
      <c r="B54" s="17" t="s">
        <v>130</v>
      </c>
      <c r="C54" s="18" t="s">
        <v>4799</v>
      </c>
      <c r="D54" s="17" t="s">
        <v>4800</v>
      </c>
      <c r="E54" s="17" t="s">
        <v>4801</v>
      </c>
      <c r="F54" s="17"/>
      <c r="G54" s="17" t="s">
        <v>808</v>
      </c>
      <c r="H54" s="19" t="s">
        <v>4570</v>
      </c>
      <c r="I54" s="19" t="s">
        <v>95</v>
      </c>
      <c r="J54" s="24"/>
      <c r="K54" t="str">
        <f t="shared" si="2"/>
        <v/>
      </c>
      <c r="L54" t="str">
        <f t="shared" si="3"/>
        <v/>
      </c>
      <c r="M54" t="str">
        <f>IF(F54="","",IF(COUNTIF('01_rules'!$A$2:$A$39,LEFT(F54,4))=0,"rule 없음",""))</f>
        <v/>
      </c>
    </row>
    <row r="55" spans="1:13" ht="34.200000000000003" customHeight="1">
      <c r="A55" s="17" t="s">
        <v>4802</v>
      </c>
      <c r="B55" s="17" t="s">
        <v>143</v>
      </c>
      <c r="C55" s="18" t="s">
        <v>4803</v>
      </c>
      <c r="D55" s="17" t="s">
        <v>4804</v>
      </c>
      <c r="E55" s="17" t="s">
        <v>4805</v>
      </c>
      <c r="F55" s="17"/>
      <c r="G55" s="17" t="s">
        <v>862</v>
      </c>
      <c r="H55" s="19" t="s">
        <v>4570</v>
      </c>
      <c r="I55" s="19" t="s">
        <v>95</v>
      </c>
      <c r="J55" s="24"/>
      <c r="K55" t="str">
        <f t="shared" si="2"/>
        <v/>
      </c>
      <c r="L55" t="str">
        <f t="shared" si="3"/>
        <v/>
      </c>
      <c r="M55" t="str">
        <f>IF(F55="","",IF(COUNTIF('01_rules'!$A$2:$A$39,LEFT(F55,4))=0,"rule 없음",""))</f>
        <v/>
      </c>
    </row>
    <row r="56" spans="1:13" ht="34.200000000000003" customHeight="1">
      <c r="A56" s="17" t="s">
        <v>4806</v>
      </c>
      <c r="B56" s="17" t="s">
        <v>156</v>
      </c>
      <c r="C56" s="18" t="s">
        <v>4807</v>
      </c>
      <c r="D56" s="17" t="s">
        <v>4808</v>
      </c>
      <c r="E56" s="17" t="s">
        <v>4809</v>
      </c>
      <c r="F56" s="17"/>
      <c r="G56" s="17" t="s">
        <v>925</v>
      </c>
      <c r="H56" s="19" t="s">
        <v>4570</v>
      </c>
      <c r="I56" s="19" t="s">
        <v>95</v>
      </c>
      <c r="J56" s="24"/>
      <c r="K56" t="str">
        <f t="shared" si="2"/>
        <v/>
      </c>
      <c r="L56" t="str">
        <f t="shared" si="3"/>
        <v/>
      </c>
      <c r="M56" t="str">
        <f>IF(F56="","",IF(COUNTIF('01_rules'!$A$2:$A$39,LEFT(F56,4))=0,"rule 없음",""))</f>
        <v/>
      </c>
    </row>
    <row r="57" spans="1:13" ht="34.200000000000003" customHeight="1">
      <c r="A57" s="17" t="s">
        <v>4810</v>
      </c>
      <c r="B57" s="17" t="s">
        <v>163</v>
      </c>
      <c r="C57" s="18" t="s">
        <v>4811</v>
      </c>
      <c r="D57" s="17" t="s">
        <v>4812</v>
      </c>
      <c r="E57" s="17" t="s">
        <v>4813</v>
      </c>
      <c r="F57" s="17"/>
      <c r="G57" s="17" t="s">
        <v>972</v>
      </c>
      <c r="H57" s="19" t="s">
        <v>4570</v>
      </c>
      <c r="I57" s="19" t="s">
        <v>95</v>
      </c>
      <c r="J57" s="24"/>
      <c r="K57" t="str">
        <f t="shared" si="2"/>
        <v/>
      </c>
      <c r="L57" t="str">
        <f t="shared" si="3"/>
        <v/>
      </c>
      <c r="M57" t="str">
        <f>IF(F57="","",IF(COUNTIF('01_rules'!$A$2:$A$39,LEFT(F57,4))=0,"rule 없음",""))</f>
        <v/>
      </c>
    </row>
    <row r="58" spans="1:13" ht="34.200000000000003" customHeight="1">
      <c r="A58" s="17" t="s">
        <v>4814</v>
      </c>
      <c r="B58" s="17" t="s">
        <v>176</v>
      </c>
      <c r="C58" s="18" t="s">
        <v>4815</v>
      </c>
      <c r="D58" s="17" t="s">
        <v>4816</v>
      </c>
      <c r="E58" s="17" t="s">
        <v>4817</v>
      </c>
      <c r="F58" s="17"/>
      <c r="G58" s="17" t="s">
        <v>1044</v>
      </c>
      <c r="H58" s="19" t="s">
        <v>4570</v>
      </c>
      <c r="I58" s="19" t="s">
        <v>95</v>
      </c>
      <c r="J58" s="24"/>
      <c r="K58" t="str">
        <f t="shared" si="2"/>
        <v/>
      </c>
      <c r="L58" t="str">
        <f t="shared" si="3"/>
        <v/>
      </c>
      <c r="M58" t="str">
        <f>IF(F58="","",IF(COUNTIF('01_rules'!$A$2:$A$39,LEFT(F58,4))=0,"rule 없음",""))</f>
        <v/>
      </c>
    </row>
    <row r="59" spans="1:13" ht="34.200000000000003" customHeight="1">
      <c r="A59" s="17" t="s">
        <v>4818</v>
      </c>
      <c r="B59" s="17" t="s">
        <v>189</v>
      </c>
      <c r="C59" s="18" t="s">
        <v>4819</v>
      </c>
      <c r="D59" s="17" t="s">
        <v>4820</v>
      </c>
      <c r="E59" s="17" t="s">
        <v>4821</v>
      </c>
      <c r="F59" s="17"/>
      <c r="G59" s="17" t="s">
        <v>1113</v>
      </c>
      <c r="H59" s="19" t="s">
        <v>4570</v>
      </c>
      <c r="I59" s="19" t="s">
        <v>95</v>
      </c>
      <c r="J59" s="24"/>
      <c r="K59" t="str">
        <f t="shared" si="2"/>
        <v/>
      </c>
      <c r="L59" t="str">
        <f t="shared" si="3"/>
        <v/>
      </c>
      <c r="M59" t="str">
        <f>IF(F59="","",IF(COUNTIF('01_rules'!$A$2:$A$39,LEFT(F59,4))=0,"rule 없음",""))</f>
        <v/>
      </c>
    </row>
    <row r="60" spans="1:13" ht="34.200000000000003" customHeight="1">
      <c r="A60" s="17" t="s">
        <v>4822</v>
      </c>
      <c r="B60" s="17" t="s">
        <v>196</v>
      </c>
      <c r="C60" s="18" t="s">
        <v>4823</v>
      </c>
      <c r="D60" s="17" t="s">
        <v>4824</v>
      </c>
      <c r="E60" s="17" t="s">
        <v>4825</v>
      </c>
      <c r="F60" s="17"/>
      <c r="G60" s="17" t="s">
        <v>1173</v>
      </c>
      <c r="H60" s="19" t="s">
        <v>4570</v>
      </c>
      <c r="I60" s="19" t="s">
        <v>95</v>
      </c>
      <c r="J60" s="24"/>
      <c r="K60" t="str">
        <f t="shared" si="2"/>
        <v/>
      </c>
      <c r="L60" t="str">
        <f t="shared" si="3"/>
        <v/>
      </c>
      <c r="M60" t="str">
        <f>IF(F60="","",IF(COUNTIF('01_rules'!$A$2:$A$39,LEFT(F60,4))=0,"rule 없음",""))</f>
        <v/>
      </c>
    </row>
    <row r="61" spans="1:13" ht="34.200000000000003" customHeight="1">
      <c r="A61" s="17" t="s">
        <v>4826</v>
      </c>
      <c r="B61" s="17" t="s">
        <v>203</v>
      </c>
      <c r="C61" s="18" t="s">
        <v>4827</v>
      </c>
      <c r="D61" s="17" t="s">
        <v>4828</v>
      </c>
      <c r="E61" s="17" t="s">
        <v>4829</v>
      </c>
      <c r="F61" s="17"/>
      <c r="G61" s="17" t="s">
        <v>1233</v>
      </c>
      <c r="H61" s="19" t="s">
        <v>4570</v>
      </c>
      <c r="I61" s="19" t="s">
        <v>95</v>
      </c>
      <c r="J61" s="24"/>
      <c r="K61" t="str">
        <f t="shared" si="2"/>
        <v/>
      </c>
      <c r="L61" t="str">
        <f t="shared" si="3"/>
        <v/>
      </c>
      <c r="M61" t="str">
        <f>IF(F61="","",IF(COUNTIF('01_rules'!$A$2:$A$39,LEFT(F61,4))=0,"rule 없음",""))</f>
        <v/>
      </c>
    </row>
    <row r="62" spans="1:13" ht="34.200000000000003" customHeight="1">
      <c r="A62" s="17" t="s">
        <v>4830</v>
      </c>
      <c r="B62" s="17" t="s">
        <v>210</v>
      </c>
      <c r="C62" s="18" t="s">
        <v>4831</v>
      </c>
      <c r="D62" s="17" t="s">
        <v>4832</v>
      </c>
      <c r="E62" s="17" t="s">
        <v>4833</v>
      </c>
      <c r="F62" s="17"/>
      <c r="G62" s="17" t="s">
        <v>1290</v>
      </c>
      <c r="H62" s="19" t="s">
        <v>4570</v>
      </c>
      <c r="I62" s="19" t="s">
        <v>95</v>
      </c>
      <c r="J62" s="24"/>
      <c r="K62" t="str">
        <f t="shared" si="2"/>
        <v/>
      </c>
      <c r="L62" t="str">
        <f t="shared" si="3"/>
        <v/>
      </c>
      <c r="M62" t="str">
        <f>IF(F62="","",IF(COUNTIF('01_rules'!$A$2:$A$39,LEFT(F62,4))=0,"rule 없음",""))</f>
        <v/>
      </c>
    </row>
    <row r="63" spans="1:13" ht="34.200000000000003" customHeight="1">
      <c r="A63" s="17" t="s">
        <v>4834</v>
      </c>
      <c r="B63" s="17" t="s">
        <v>217</v>
      </c>
      <c r="C63" s="18" t="s">
        <v>4835</v>
      </c>
      <c r="D63" s="17" t="s">
        <v>4836</v>
      </c>
      <c r="E63" s="17" t="s">
        <v>4837</v>
      </c>
      <c r="F63" s="17"/>
      <c r="G63" s="17" t="s">
        <v>1335</v>
      </c>
      <c r="H63" s="19" t="s">
        <v>4570</v>
      </c>
      <c r="I63" s="19" t="s">
        <v>95</v>
      </c>
      <c r="J63" s="24"/>
      <c r="K63" t="str">
        <f t="shared" si="2"/>
        <v/>
      </c>
      <c r="L63" t="str">
        <f t="shared" si="3"/>
        <v/>
      </c>
      <c r="M63" t="str">
        <f>IF(F63="","",IF(COUNTIF('01_rules'!$A$2:$A$39,LEFT(F63,4))=0,"rule 없음",""))</f>
        <v/>
      </c>
    </row>
    <row r="64" spans="1:13" ht="34.200000000000003" customHeight="1">
      <c r="A64" s="17" t="s">
        <v>4838</v>
      </c>
      <c r="B64" s="17" t="s">
        <v>224</v>
      </c>
      <c r="C64" s="18" t="s">
        <v>4839</v>
      </c>
      <c r="D64" s="17" t="s">
        <v>4840</v>
      </c>
      <c r="E64" s="17" t="s">
        <v>4841</v>
      </c>
      <c r="F64" s="17"/>
      <c r="G64" s="17" t="s">
        <v>1413</v>
      </c>
      <c r="H64" s="19" t="s">
        <v>4570</v>
      </c>
      <c r="I64" s="19" t="s">
        <v>95</v>
      </c>
      <c r="J64" s="24"/>
      <c r="K64" t="str">
        <f t="shared" si="2"/>
        <v/>
      </c>
      <c r="L64" t="str">
        <f t="shared" si="3"/>
        <v/>
      </c>
      <c r="M64" t="str">
        <f>IF(F64="","",IF(COUNTIF('01_rules'!$A$2:$A$39,LEFT(F64,4))=0,"rule 없음",""))</f>
        <v/>
      </c>
    </row>
    <row r="65" spans="1:13" ht="34.200000000000003" customHeight="1">
      <c r="A65" s="17" t="s">
        <v>4842</v>
      </c>
      <c r="B65" s="17" t="s">
        <v>237</v>
      </c>
      <c r="C65" s="18" t="s">
        <v>4843</v>
      </c>
      <c r="D65" s="17" t="s">
        <v>4844</v>
      </c>
      <c r="E65" s="17" t="s">
        <v>4845</v>
      </c>
      <c r="F65" s="17"/>
      <c r="G65" s="17" t="s">
        <v>1461</v>
      </c>
      <c r="H65" s="19" t="s">
        <v>4570</v>
      </c>
      <c r="I65" s="19" t="s">
        <v>95</v>
      </c>
      <c r="J65" s="24"/>
      <c r="K65" t="str">
        <f t="shared" si="2"/>
        <v/>
      </c>
      <c r="L65" t="str">
        <f t="shared" si="3"/>
        <v/>
      </c>
      <c r="M65" t="str">
        <f>IF(F65="","",IF(COUNTIF('01_rules'!$A$2:$A$39,LEFT(F65,4))=0,"rule 없음",""))</f>
        <v/>
      </c>
    </row>
    <row r="66" spans="1:13" ht="34.200000000000003" customHeight="1">
      <c r="A66" s="17" t="s">
        <v>4846</v>
      </c>
      <c r="B66" s="17" t="s">
        <v>244</v>
      </c>
      <c r="C66" s="18" t="s">
        <v>4847</v>
      </c>
      <c r="D66" s="17" t="s">
        <v>4848</v>
      </c>
      <c r="E66" s="17" t="s">
        <v>4849</v>
      </c>
      <c r="F66" s="17"/>
      <c r="G66" s="17" t="s">
        <v>1524</v>
      </c>
      <c r="H66" s="19" t="s">
        <v>4570</v>
      </c>
      <c r="I66" s="19" t="s">
        <v>95</v>
      </c>
      <c r="J66" s="24"/>
      <c r="K66" t="str">
        <f t="shared" ref="K66:K75" si="4">IF(A66="","",IF(COUNTIF($A$2:$A$75,A66)&gt;1,"중복",""))</f>
        <v/>
      </c>
      <c r="L66" t="str">
        <f t="shared" ref="L66:L75" si="5">IF(D66="","",IF(LEN(D66)-LEN(SUBSTITUTE(D66,";",""))+1&lt;3,"3개 미만",""))</f>
        <v/>
      </c>
      <c r="M66" t="str">
        <f>IF(F66="","",IF(COUNTIF('01_rules'!$A$2:$A$39,LEFT(F66,4))=0,"rule 없음",""))</f>
        <v/>
      </c>
    </row>
    <row r="67" spans="1:13" ht="34.200000000000003" customHeight="1">
      <c r="A67" s="17" t="s">
        <v>4850</v>
      </c>
      <c r="B67" s="17" t="s">
        <v>251</v>
      </c>
      <c r="C67" s="18" t="s">
        <v>4851</v>
      </c>
      <c r="D67" s="17" t="s">
        <v>4852</v>
      </c>
      <c r="E67" s="17" t="s">
        <v>4853</v>
      </c>
      <c r="F67" s="17"/>
      <c r="G67" s="17" t="s">
        <v>1587</v>
      </c>
      <c r="H67" s="19" t="s">
        <v>4570</v>
      </c>
      <c r="I67" s="19" t="s">
        <v>95</v>
      </c>
      <c r="J67" s="24"/>
      <c r="K67" t="str">
        <f t="shared" si="4"/>
        <v/>
      </c>
      <c r="L67" t="str">
        <f t="shared" si="5"/>
        <v/>
      </c>
      <c r="M67" t="str">
        <f>IF(F67="","",IF(COUNTIF('01_rules'!$A$2:$A$39,LEFT(F67,4))=0,"rule 없음",""))</f>
        <v/>
      </c>
    </row>
    <row r="68" spans="1:13" ht="34.200000000000003" customHeight="1">
      <c r="A68" s="17" t="s">
        <v>4854</v>
      </c>
      <c r="B68" s="17" t="s">
        <v>264</v>
      </c>
      <c r="C68" s="18" t="s">
        <v>4855</v>
      </c>
      <c r="D68" s="17" t="s">
        <v>4856</v>
      </c>
      <c r="E68" s="17" t="s">
        <v>4857</v>
      </c>
      <c r="F68" s="17"/>
      <c r="G68" s="17" t="s">
        <v>1649</v>
      </c>
      <c r="H68" s="19" t="s">
        <v>4570</v>
      </c>
      <c r="I68" s="19" t="s">
        <v>95</v>
      </c>
      <c r="J68" s="24"/>
      <c r="K68" t="str">
        <f t="shared" si="4"/>
        <v/>
      </c>
      <c r="L68" t="str">
        <f t="shared" si="5"/>
        <v/>
      </c>
      <c r="M68" t="str">
        <f>IF(F68="","",IF(COUNTIF('01_rules'!$A$2:$A$39,LEFT(F68,4))=0,"rule 없음",""))</f>
        <v/>
      </c>
    </row>
    <row r="69" spans="1:13" ht="34.200000000000003" customHeight="1">
      <c r="A69" s="17" t="s">
        <v>4858</v>
      </c>
      <c r="B69" s="17" t="s">
        <v>277</v>
      </c>
      <c r="C69" s="18" t="s">
        <v>4859</v>
      </c>
      <c r="D69" s="17" t="s">
        <v>4860</v>
      </c>
      <c r="E69" s="17" t="s">
        <v>4861</v>
      </c>
      <c r="F69" s="17"/>
      <c r="G69" s="17" t="s">
        <v>1700</v>
      </c>
      <c r="H69" s="19" t="s">
        <v>4570</v>
      </c>
      <c r="I69" s="19" t="s">
        <v>95</v>
      </c>
      <c r="J69" s="24"/>
      <c r="K69" t="str">
        <f t="shared" si="4"/>
        <v/>
      </c>
      <c r="L69" t="str">
        <f t="shared" si="5"/>
        <v/>
      </c>
      <c r="M69" t="str">
        <f>IF(F69="","",IF(COUNTIF('01_rules'!$A$2:$A$39,LEFT(F69,4))=0,"rule 없음",""))</f>
        <v/>
      </c>
    </row>
    <row r="70" spans="1:13" ht="34.200000000000003" customHeight="1">
      <c r="A70" s="17" t="s">
        <v>4862</v>
      </c>
      <c r="B70" s="17" t="s">
        <v>284</v>
      </c>
      <c r="C70" s="18" t="s">
        <v>4863</v>
      </c>
      <c r="D70" s="17" t="s">
        <v>4864</v>
      </c>
      <c r="E70" s="17" t="s">
        <v>4865</v>
      </c>
      <c r="F70" s="17"/>
      <c r="G70" s="17" t="s">
        <v>1760</v>
      </c>
      <c r="H70" s="19" t="s">
        <v>4570</v>
      </c>
      <c r="I70" s="19" t="s">
        <v>95</v>
      </c>
      <c r="J70" s="24"/>
      <c r="K70" t="str">
        <f t="shared" si="4"/>
        <v/>
      </c>
      <c r="L70" t="str">
        <f t="shared" si="5"/>
        <v/>
      </c>
      <c r="M70" t="str">
        <f>IF(F70="","",IF(COUNTIF('01_rules'!$A$2:$A$39,LEFT(F70,4))=0,"rule 없음",""))</f>
        <v/>
      </c>
    </row>
    <row r="71" spans="1:13" ht="34.200000000000003" customHeight="1">
      <c r="A71" s="17" t="s">
        <v>4866</v>
      </c>
      <c r="B71" s="17" t="s">
        <v>130</v>
      </c>
      <c r="C71" s="18" t="s">
        <v>4867</v>
      </c>
      <c r="D71" s="18" t="s">
        <v>4868</v>
      </c>
      <c r="E71" s="17" t="s">
        <v>4869</v>
      </c>
      <c r="F71" s="17" t="s">
        <v>135</v>
      </c>
      <c r="G71" s="17" t="s">
        <v>4719</v>
      </c>
      <c r="H71" s="19" t="s">
        <v>4582</v>
      </c>
      <c r="I71" s="19" t="s">
        <v>95</v>
      </c>
      <c r="J71" s="24"/>
      <c r="K71" t="str">
        <f t="shared" si="4"/>
        <v/>
      </c>
      <c r="L71" t="str">
        <f t="shared" si="5"/>
        <v/>
      </c>
      <c r="M71" t="str">
        <f>IF(F71="","",IF(COUNTIF('01_rules'!$A$2:$A$39,LEFT(F71,4))=0,"rule 없음",""))</f>
        <v/>
      </c>
    </row>
    <row r="72" spans="1:13" ht="34.200000000000003" customHeight="1">
      <c r="A72" s="17" t="s">
        <v>4870</v>
      </c>
      <c r="B72" s="17" t="s">
        <v>163</v>
      </c>
      <c r="C72" s="18" t="s">
        <v>4871</v>
      </c>
      <c r="D72" s="18" t="s">
        <v>4872</v>
      </c>
      <c r="E72" s="17" t="s">
        <v>4873</v>
      </c>
      <c r="F72" s="17" t="s">
        <v>168</v>
      </c>
      <c r="G72" s="17" t="s">
        <v>4874</v>
      </c>
      <c r="H72" s="19" t="s">
        <v>4582</v>
      </c>
      <c r="I72" s="19" t="s">
        <v>95</v>
      </c>
      <c r="J72" s="24"/>
      <c r="K72" t="str">
        <f t="shared" si="4"/>
        <v/>
      </c>
      <c r="L72" t="str">
        <f t="shared" si="5"/>
        <v/>
      </c>
      <c r="M72" t="str">
        <f>IF(F72="","",IF(COUNTIF('01_rules'!$A$2:$A$39,LEFT(F72,4))=0,"rule 없음",""))</f>
        <v/>
      </c>
    </row>
    <row r="73" spans="1:13" ht="34.200000000000003" customHeight="1">
      <c r="A73" s="17" t="s">
        <v>4875</v>
      </c>
      <c r="B73" s="17" t="s">
        <v>224</v>
      </c>
      <c r="C73" s="18" t="s">
        <v>4876</v>
      </c>
      <c r="D73" s="18" t="s">
        <v>4877</v>
      </c>
      <c r="E73" s="17" t="s">
        <v>4878</v>
      </c>
      <c r="F73" s="17" t="s">
        <v>229</v>
      </c>
      <c r="G73" s="17" t="s">
        <v>4879</v>
      </c>
      <c r="H73" s="19" t="s">
        <v>4582</v>
      </c>
      <c r="I73" s="19" t="s">
        <v>95</v>
      </c>
      <c r="J73" s="24"/>
      <c r="K73" t="str">
        <f t="shared" si="4"/>
        <v/>
      </c>
      <c r="L73" t="str">
        <f t="shared" si="5"/>
        <v/>
      </c>
      <c r="M73" t="str">
        <f>IF(F73="","",IF(COUNTIF('01_rules'!$A$2:$A$39,LEFT(F73,4))=0,"rule 없음",""))</f>
        <v/>
      </c>
    </row>
    <row r="74" spans="1:13" ht="34.200000000000003" customHeight="1">
      <c r="A74" s="17" t="s">
        <v>4880</v>
      </c>
      <c r="B74" s="17" t="s">
        <v>251</v>
      </c>
      <c r="C74" s="18" t="s">
        <v>4881</v>
      </c>
      <c r="D74" s="18" t="s">
        <v>4882</v>
      </c>
      <c r="E74" s="17" t="s">
        <v>4883</v>
      </c>
      <c r="F74" s="17" t="s">
        <v>256</v>
      </c>
      <c r="G74" s="17" t="s">
        <v>4884</v>
      </c>
      <c r="H74" s="19" t="s">
        <v>4582</v>
      </c>
      <c r="I74" s="19" t="s">
        <v>95</v>
      </c>
      <c r="J74" s="24"/>
      <c r="K74" t="str">
        <f t="shared" si="4"/>
        <v/>
      </c>
      <c r="L74" t="str">
        <f t="shared" si="5"/>
        <v/>
      </c>
      <c r="M74" t="str">
        <f>IF(F74="","",IF(COUNTIF('01_rules'!$A$2:$A$39,LEFT(F74,4))=0,"rule 없음",""))</f>
        <v/>
      </c>
    </row>
    <row r="75" spans="1:13" ht="34.200000000000003" customHeight="1">
      <c r="A75" s="17" t="s">
        <v>4885</v>
      </c>
      <c r="B75" s="17" t="s">
        <v>299</v>
      </c>
      <c r="C75" s="18" t="s">
        <v>4886</v>
      </c>
      <c r="D75" s="18" t="s">
        <v>4887</v>
      </c>
      <c r="E75" s="17" t="s">
        <v>4888</v>
      </c>
      <c r="F75" s="17" t="s">
        <v>304</v>
      </c>
      <c r="G75" s="17" t="s">
        <v>4774</v>
      </c>
      <c r="H75" s="19" t="s">
        <v>4582</v>
      </c>
      <c r="I75" s="19" t="s">
        <v>95</v>
      </c>
      <c r="J75" s="24"/>
      <c r="K75" t="str">
        <f t="shared" si="4"/>
        <v/>
      </c>
      <c r="L75" t="str">
        <f t="shared" si="5"/>
        <v/>
      </c>
      <c r="M75" t="str">
        <f>IF(F75="","",IF(COUNTIF('01_rules'!$A$2:$A$39,LEFT(F75,4))=0,"rule 없음",""))</f>
        <v/>
      </c>
    </row>
    <row r="78" spans="1:13" ht="14.25" customHeight="1">
      <c r="A78" s="3" t="s">
        <v>4889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</sheetData>
  <mergeCells count="1">
    <mergeCell ref="A78:M80"/>
  </mergeCells>
  <phoneticPr fontId="16" type="noConversion"/>
  <conditionalFormatting sqref="K2:M41">
    <cfRule type="expression" dxfId="0" priority="2">
      <formula>AND(K2&lt;&gt;"",K2&lt;&gt;"OK")</formula>
    </cfRule>
  </conditionalFormatting>
  <dataValidations count="2">
    <dataValidation type="list" allowBlank="1" sqref="I2:I41" xr:uid="{00000000-0002-0000-0700-000000000000}">
      <formula1>"미검수,확인,수정필요"</formula1>
      <formula2>0</formula2>
    </dataValidation>
    <dataValidation type="list" allowBlank="1" sqref="H2:H41" xr:uid="{00000000-0002-0000-0700-000001000000}">
      <formula1>"규칙 질문,단어 뜻 질문,다른 예문 요청"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/>
  <cols>
    <col min="1" max="1" width="13" customWidth="1"/>
    <col min="2" max="2" width="14" customWidth="1"/>
    <col min="3" max="3" width="11" customWidth="1"/>
    <col min="4" max="4" width="30" customWidth="1"/>
    <col min="5" max="5" width="26" customWidth="1"/>
    <col min="6" max="6" width="36" customWidth="1"/>
    <col min="7" max="7" width="11" customWidth="1"/>
    <col min="8" max="8" width="10" customWidth="1"/>
  </cols>
  <sheetData>
    <row r="1" spans="1:8" ht="31.5" customHeight="1">
      <c r="A1" s="15" t="s">
        <v>4890</v>
      </c>
      <c r="B1" s="15" t="s">
        <v>4891</v>
      </c>
      <c r="C1" s="15" t="s">
        <v>4892</v>
      </c>
      <c r="D1" s="15" t="s">
        <v>4893</v>
      </c>
      <c r="E1" s="15" t="s">
        <v>4894</v>
      </c>
      <c r="F1" s="15" t="s">
        <v>4895</v>
      </c>
      <c r="G1" s="15" t="s">
        <v>4896</v>
      </c>
      <c r="H1" s="15" t="s">
        <v>81</v>
      </c>
    </row>
    <row r="2" spans="1:8" ht="29.25" customHeight="1">
      <c r="A2" s="24" t="s">
        <v>4897</v>
      </c>
      <c r="B2" s="24" t="s">
        <v>50</v>
      </c>
      <c r="C2" s="24" t="s">
        <v>102</v>
      </c>
      <c r="D2" s="24" t="s">
        <v>4898</v>
      </c>
      <c r="E2" s="24" t="s">
        <v>4899</v>
      </c>
      <c r="F2" s="24" t="s">
        <v>4900</v>
      </c>
      <c r="G2" s="19" t="s">
        <v>4901</v>
      </c>
      <c r="H2" s="24"/>
    </row>
    <row r="3" spans="1:8" ht="29.25" customHeight="1">
      <c r="A3" s="24" t="s">
        <v>4897</v>
      </c>
      <c r="B3" s="24" t="s">
        <v>50</v>
      </c>
      <c r="C3" s="24" t="s">
        <v>96</v>
      </c>
      <c r="D3" s="24" t="s">
        <v>4898</v>
      </c>
      <c r="E3" s="24" t="s">
        <v>4902</v>
      </c>
      <c r="F3" s="24" t="s">
        <v>4903</v>
      </c>
      <c r="G3" s="19" t="s">
        <v>4901</v>
      </c>
      <c r="H3" s="24"/>
    </row>
    <row r="4" spans="1:8" ht="15" customHeight="1">
      <c r="A4" s="24" t="s">
        <v>4897</v>
      </c>
      <c r="B4" s="24" t="s">
        <v>56</v>
      </c>
      <c r="C4" s="24" t="s">
        <v>4583</v>
      </c>
      <c r="D4" s="24" t="s">
        <v>4904</v>
      </c>
      <c r="E4" s="24" t="s">
        <v>4905</v>
      </c>
      <c r="F4" s="19" t="s">
        <v>4906</v>
      </c>
      <c r="G4" s="19" t="s">
        <v>4901</v>
      </c>
      <c r="H4" s="24"/>
    </row>
    <row r="5" spans="1:8" ht="29.25" customHeight="1">
      <c r="A5" s="24" t="s">
        <v>4897</v>
      </c>
      <c r="B5" s="24" t="s">
        <v>50</v>
      </c>
      <c r="C5" s="24" t="s">
        <v>128</v>
      </c>
      <c r="D5" s="24" t="s">
        <v>4907</v>
      </c>
      <c r="E5" s="24" t="s">
        <v>4905</v>
      </c>
      <c r="F5" s="19" t="s">
        <v>4908</v>
      </c>
      <c r="G5" s="19" t="s">
        <v>4901</v>
      </c>
      <c r="H5" s="24"/>
    </row>
    <row r="6" spans="1:8" ht="29.25" customHeight="1">
      <c r="A6" s="24" t="s">
        <v>4897</v>
      </c>
      <c r="B6" s="24" t="s">
        <v>56</v>
      </c>
      <c r="C6" s="24" t="s">
        <v>4588</v>
      </c>
      <c r="D6" s="24" t="s">
        <v>4909</v>
      </c>
      <c r="E6" s="24" t="s">
        <v>4910</v>
      </c>
      <c r="F6" s="24" t="s">
        <v>4911</v>
      </c>
      <c r="G6" s="19" t="s">
        <v>4901</v>
      </c>
      <c r="H6" s="24"/>
    </row>
    <row r="7" spans="1:8" ht="29.25" customHeight="1">
      <c r="A7" s="24" t="s">
        <v>4897</v>
      </c>
      <c r="B7" s="24" t="s">
        <v>54</v>
      </c>
      <c r="C7" s="24" t="s">
        <v>1799</v>
      </c>
      <c r="D7" s="24" t="s">
        <v>1953</v>
      </c>
      <c r="E7" s="24" t="s">
        <v>4905</v>
      </c>
      <c r="F7" s="24" t="s">
        <v>4912</v>
      </c>
      <c r="G7" s="19" t="s">
        <v>4901</v>
      </c>
      <c r="H7" s="24"/>
    </row>
    <row r="8" spans="1:8" ht="29.25" customHeight="1">
      <c r="A8" s="24" t="s">
        <v>4897</v>
      </c>
      <c r="B8" s="24" t="s">
        <v>54</v>
      </c>
      <c r="C8" s="24" t="s">
        <v>4913</v>
      </c>
      <c r="D8" s="24" t="s">
        <v>4914</v>
      </c>
      <c r="E8" s="24" t="s">
        <v>4905</v>
      </c>
      <c r="F8" s="24" t="s">
        <v>4915</v>
      </c>
      <c r="G8" s="19" t="s">
        <v>4916</v>
      </c>
      <c r="H8" s="24"/>
    </row>
    <row r="9" spans="1:8" ht="15" customHeight="1">
      <c r="A9" s="24"/>
      <c r="B9" s="24"/>
      <c r="C9" s="24"/>
      <c r="D9" s="24"/>
      <c r="E9" s="24"/>
      <c r="F9" s="24"/>
      <c r="G9" s="19"/>
      <c r="H9" s="24"/>
    </row>
    <row r="10" spans="1:8" ht="15" customHeight="1">
      <c r="A10" s="24"/>
      <c r="B10" s="24"/>
      <c r="C10" s="24"/>
      <c r="D10" s="24"/>
      <c r="E10" s="24"/>
      <c r="F10" s="24"/>
      <c r="G10" s="19"/>
      <c r="H10" s="24"/>
    </row>
    <row r="11" spans="1:8" ht="15" customHeight="1">
      <c r="A11" s="24"/>
      <c r="B11" s="24"/>
      <c r="C11" s="24"/>
      <c r="D11" s="24"/>
      <c r="E11" s="24"/>
      <c r="F11" s="24"/>
      <c r="G11" s="19"/>
      <c r="H11" s="24"/>
    </row>
    <row r="12" spans="1:8" ht="15" customHeight="1">
      <c r="A12" s="24"/>
      <c r="B12" s="24"/>
      <c r="C12" s="24"/>
      <c r="D12" s="24"/>
      <c r="E12" s="24"/>
      <c r="F12" s="24"/>
      <c r="G12" s="19"/>
      <c r="H12" s="24"/>
    </row>
    <row r="13" spans="1:8" ht="15" customHeight="1">
      <c r="A13" s="24"/>
      <c r="B13" s="24"/>
      <c r="C13" s="24"/>
      <c r="D13" s="24"/>
      <c r="E13" s="24"/>
      <c r="F13" s="24"/>
      <c r="G13" s="19"/>
      <c r="H13" s="24"/>
    </row>
    <row r="14" spans="1:8" ht="15" customHeight="1">
      <c r="A14" s="24"/>
      <c r="B14" s="24"/>
      <c r="C14" s="24"/>
      <c r="D14" s="24"/>
      <c r="E14" s="24"/>
      <c r="F14" s="24"/>
      <c r="G14" s="19"/>
      <c r="H14" s="24"/>
    </row>
    <row r="15" spans="1:8" ht="15" customHeight="1">
      <c r="A15" s="24"/>
      <c r="B15" s="24"/>
      <c r="C15" s="24"/>
      <c r="D15" s="24"/>
      <c r="E15" s="24"/>
      <c r="F15" s="24"/>
      <c r="G15" s="19"/>
      <c r="H15" s="24"/>
    </row>
    <row r="16" spans="1:8" ht="15" customHeight="1">
      <c r="A16" s="24"/>
      <c r="B16" s="24"/>
      <c r="C16" s="24"/>
      <c r="D16" s="24"/>
      <c r="E16" s="24"/>
      <c r="F16" s="24"/>
      <c r="G16" s="19"/>
      <c r="H16" s="24"/>
    </row>
    <row r="17" spans="1:8" ht="15" customHeight="1">
      <c r="A17" s="24"/>
      <c r="B17" s="24"/>
      <c r="C17" s="24"/>
      <c r="D17" s="24"/>
      <c r="E17" s="24"/>
      <c r="F17" s="24"/>
      <c r="G17" s="19"/>
      <c r="H17" s="24"/>
    </row>
    <row r="18" spans="1:8" ht="15" customHeight="1">
      <c r="A18" s="24"/>
      <c r="B18" s="24"/>
      <c r="C18" s="24"/>
      <c r="D18" s="24"/>
      <c r="E18" s="24"/>
      <c r="F18" s="24"/>
      <c r="G18" s="19"/>
      <c r="H18" s="24"/>
    </row>
    <row r="19" spans="1:8" ht="15" customHeight="1">
      <c r="A19" s="24"/>
      <c r="B19" s="24"/>
      <c r="C19" s="24"/>
      <c r="D19" s="24"/>
      <c r="E19" s="24"/>
      <c r="F19" s="24"/>
      <c r="G19" s="19"/>
      <c r="H19" s="24"/>
    </row>
    <row r="20" spans="1:8" ht="15" customHeight="1">
      <c r="A20" s="24"/>
      <c r="B20" s="24"/>
      <c r="C20" s="24"/>
      <c r="D20" s="24"/>
      <c r="E20" s="24"/>
      <c r="F20" s="24"/>
      <c r="G20" s="19"/>
      <c r="H20" s="24"/>
    </row>
    <row r="21" spans="1:8" ht="15" customHeight="1">
      <c r="A21" s="24"/>
      <c r="B21" s="24"/>
      <c r="C21" s="24"/>
      <c r="D21" s="24"/>
      <c r="E21" s="24"/>
      <c r="F21" s="24"/>
      <c r="G21" s="19"/>
      <c r="H21" s="24"/>
    </row>
    <row r="22" spans="1:8" ht="15" customHeight="1">
      <c r="A22" s="24"/>
      <c r="B22" s="24"/>
      <c r="C22" s="24"/>
      <c r="D22" s="24"/>
      <c r="E22" s="24"/>
      <c r="F22" s="24"/>
      <c r="G22" s="19"/>
      <c r="H22" s="24"/>
    </row>
    <row r="23" spans="1:8" ht="15" customHeight="1">
      <c r="A23" s="24"/>
      <c r="B23" s="24"/>
      <c r="C23" s="24"/>
      <c r="D23" s="24"/>
      <c r="E23" s="24"/>
      <c r="F23" s="24"/>
      <c r="G23" s="19"/>
      <c r="H23" s="24"/>
    </row>
    <row r="24" spans="1:8" ht="15" customHeight="1">
      <c r="A24" s="24"/>
      <c r="B24" s="24"/>
      <c r="C24" s="24"/>
      <c r="D24" s="24"/>
      <c r="E24" s="24"/>
      <c r="F24" s="24"/>
      <c r="G24" s="19"/>
      <c r="H24" s="24"/>
    </row>
    <row r="25" spans="1:8" ht="15" customHeight="1">
      <c r="A25" s="24"/>
      <c r="B25" s="24"/>
      <c r="C25" s="24"/>
      <c r="D25" s="24"/>
      <c r="E25" s="24"/>
      <c r="F25" s="24"/>
      <c r="G25" s="19"/>
      <c r="H25" s="24"/>
    </row>
    <row r="26" spans="1:8" ht="15" customHeight="1">
      <c r="A26" s="24"/>
      <c r="B26" s="24"/>
      <c r="C26" s="24"/>
      <c r="D26" s="24"/>
      <c r="E26" s="24"/>
      <c r="F26" s="24"/>
      <c r="G26" s="19"/>
      <c r="H26" s="24"/>
    </row>
    <row r="29" spans="1:8" ht="15" customHeight="1">
      <c r="A29" s="1" t="s">
        <v>4917</v>
      </c>
      <c r="B29" s="1"/>
      <c r="C29" s="1"/>
      <c r="D29" s="1"/>
      <c r="E29" s="1"/>
      <c r="F29" s="1"/>
      <c r="G29" s="1"/>
      <c r="H29" s="1"/>
    </row>
    <row r="30" spans="1:8" ht="15" customHeight="1">
      <c r="A30" s="1"/>
      <c r="B30" s="1"/>
      <c r="C30" s="1"/>
      <c r="D30" s="1"/>
      <c r="E30" s="1"/>
      <c r="F30" s="1"/>
      <c r="G30" s="1"/>
      <c r="H30" s="1"/>
    </row>
    <row r="31" spans="1:8" ht="15" customHeight="1">
      <c r="A31" s="1"/>
      <c r="B31" s="1"/>
      <c r="C31" s="1"/>
      <c r="D31" s="1"/>
      <c r="E31" s="1"/>
      <c r="F31" s="1"/>
      <c r="G31" s="1"/>
      <c r="H31" s="1"/>
    </row>
  </sheetData>
  <mergeCells count="1">
    <mergeCell ref="A29:H31"/>
  </mergeCells>
  <phoneticPr fontId="16" type="noConversion"/>
  <dataValidations count="2">
    <dataValidation type="list" allowBlank="1" sqref="G2:G26" xr:uid="{00000000-0002-0000-0800-000000000000}">
      <formula1>"발견,임시,반영,보류"</formula1>
      <formula2>0</formula2>
    </dataValidation>
    <dataValidation type="list" allowBlank="1" sqref="B2:B26" xr:uid="{00000000-0002-0000-0800-000001000000}">
      <formula1>"01_rules,02_eval,03_units,04_patterns,05_words,06_errors,07_faq"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00_README</vt:lpstr>
      <vt:lpstr>01_rules</vt:lpstr>
      <vt:lpstr>02_eval</vt:lpstr>
      <vt:lpstr>03_units</vt:lpstr>
      <vt:lpstr>04_patterns</vt:lpstr>
      <vt:lpstr>05_words</vt:lpstr>
      <vt:lpstr>06_errors</vt:lpstr>
      <vt:lpstr>07_faq</vt:lpstr>
      <vt:lpstr>08_검수로그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하정 박</cp:lastModifiedBy>
  <cp:revision>0</cp:revision>
  <dcterms:created xsi:type="dcterms:W3CDTF">2026-09-07T08:02:03Z</dcterms:created>
  <dcterms:modified xsi:type="dcterms:W3CDTF">2026-09-08T07:16:05Z</dcterms:modified>
  <dc:language>en-US</dc:language>
</cp:coreProperties>
</file>